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silonxe/workspace/all_imprezz/brief/"/>
    </mc:Choice>
  </mc:AlternateContent>
  <xr:revisionPtr revIDLastSave="0" documentId="13_ncr:1_{B92C5CC7-A387-FE4C-B7EC-9B426F72DB2E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cost_land" sheetId="7" r:id="rId1"/>
    <sheet name="cost_sc0125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2" l="1"/>
  <c r="V6" i="12"/>
  <c r="N6" i="12"/>
  <c r="P6" i="12" s="1"/>
  <c r="Q6" i="12" s="1"/>
  <c r="G6" i="12"/>
  <c r="I6" i="12" s="1"/>
  <c r="J6" i="12" s="1"/>
  <c r="N44" i="12"/>
  <c r="N45" i="12"/>
  <c r="N7" i="12"/>
  <c r="G41" i="12"/>
  <c r="G44" i="12"/>
  <c r="U41" i="12"/>
  <c r="T38" i="12"/>
  <c r="V38" i="12" s="1"/>
  <c r="U38" i="12" s="1"/>
  <c r="T37" i="12"/>
  <c r="V37" i="12" s="1"/>
  <c r="U37" i="12" s="1"/>
  <c r="T35" i="12"/>
  <c r="V35" i="12" s="1"/>
  <c r="U35" i="12" s="1"/>
  <c r="T32" i="12"/>
  <c r="V32" i="12" s="1"/>
  <c r="U32" i="12" s="1"/>
  <c r="V36" i="12"/>
  <c r="U36" i="12"/>
  <c r="R36" i="12"/>
  <c r="T34" i="12"/>
  <c r="V34" i="12" s="1"/>
  <c r="U34" i="12" s="1"/>
  <c r="W34" i="12" s="1"/>
  <c r="X34" i="12" s="1"/>
  <c r="R34" i="12"/>
  <c r="T33" i="12"/>
  <c r="V33" i="12" s="1"/>
  <c r="U33" i="12" s="1"/>
  <c r="W33" i="12" s="1"/>
  <c r="X33" i="12" s="1"/>
  <c r="R33" i="12"/>
  <c r="T30" i="12"/>
  <c r="R30" i="12" s="1"/>
  <c r="T29" i="12"/>
  <c r="V29" i="12" s="1"/>
  <c r="U29" i="12" s="1"/>
  <c r="T28" i="12"/>
  <c r="R28" i="12" s="1"/>
  <c r="T27" i="12"/>
  <c r="V27" i="12" s="1"/>
  <c r="U27" i="12" s="1"/>
  <c r="T26" i="12"/>
  <c r="V26" i="12"/>
  <c r="U26" i="12" s="1"/>
  <c r="R26" i="12"/>
  <c r="T24" i="12"/>
  <c r="V24" i="12" s="1"/>
  <c r="U24" i="12" s="1"/>
  <c r="T23" i="12"/>
  <c r="V23" i="12" s="1"/>
  <c r="U23" i="12" s="1"/>
  <c r="T22" i="12"/>
  <c r="V22" i="12" s="1"/>
  <c r="U22" i="12" s="1"/>
  <c r="T21" i="12"/>
  <c r="V21" i="12" s="1"/>
  <c r="U21" i="12" s="1"/>
  <c r="T20" i="12"/>
  <c r="V20" i="12" s="1"/>
  <c r="U20" i="12" s="1"/>
  <c r="T19" i="12"/>
  <c r="V19" i="12" s="1"/>
  <c r="U19" i="12" s="1"/>
  <c r="T18" i="12"/>
  <c r="V18" i="12" s="1"/>
  <c r="U18" i="12" s="1"/>
  <c r="T17" i="12"/>
  <c r="V17" i="12" s="1"/>
  <c r="U17" i="12" s="1"/>
  <c r="T16" i="12"/>
  <c r="T15" i="12"/>
  <c r="V15" i="12" s="1"/>
  <c r="U15" i="12" s="1"/>
  <c r="T14" i="12"/>
  <c r="V14" i="12" s="1"/>
  <c r="U14" i="12" s="1"/>
  <c r="T13" i="12"/>
  <c r="V13" i="12" s="1"/>
  <c r="U13" i="12" s="1"/>
  <c r="T12" i="12"/>
  <c r="V12" i="12" s="1"/>
  <c r="U12" i="12" s="1"/>
  <c r="V16" i="12"/>
  <c r="U16" i="12" s="1"/>
  <c r="T5" i="12"/>
  <c r="R5" i="12" s="1"/>
  <c r="U5" i="12" s="1"/>
  <c r="T4" i="12"/>
  <c r="V4" i="12" s="1"/>
  <c r="U4" i="12" s="1"/>
  <c r="T3" i="12"/>
  <c r="R3" i="12" s="1"/>
  <c r="U3" i="12" s="1"/>
  <c r="T10" i="12"/>
  <c r="V10" i="12" s="1"/>
  <c r="U10" i="12" s="1"/>
  <c r="W10" i="12" s="1"/>
  <c r="X10" i="12" s="1"/>
  <c r="R10" i="12"/>
  <c r="T9" i="12"/>
  <c r="V9" i="12" s="1"/>
  <c r="U9" i="12" s="1"/>
  <c r="T8" i="12"/>
  <c r="R8" i="12"/>
  <c r="U8" i="12" s="1"/>
  <c r="T7" i="12"/>
  <c r="V7" i="12" s="1"/>
  <c r="U7" i="12" s="1"/>
  <c r="W7" i="12" s="1"/>
  <c r="X7" i="12" s="1"/>
  <c r="R7" i="12"/>
  <c r="T6" i="12"/>
  <c r="M38" i="12"/>
  <c r="O38" i="12" s="1"/>
  <c r="N38" i="12" s="1"/>
  <c r="M37" i="12"/>
  <c r="O37" i="12" s="1"/>
  <c r="N37" i="12" s="1"/>
  <c r="M35" i="12"/>
  <c r="O35" i="12" s="1"/>
  <c r="N35" i="12" s="1"/>
  <c r="M34" i="12"/>
  <c r="O34" i="12" s="1"/>
  <c r="N34" i="12" s="1"/>
  <c r="M33" i="12"/>
  <c r="K33" i="12" s="1"/>
  <c r="M32" i="12"/>
  <c r="O32" i="12" s="1"/>
  <c r="N32" i="12" s="1"/>
  <c r="O36" i="12"/>
  <c r="N36" i="12" s="1"/>
  <c r="P36" i="12" s="1"/>
  <c r="Q36" i="12" s="1"/>
  <c r="K36" i="12"/>
  <c r="M30" i="12"/>
  <c r="O30" i="12" s="1"/>
  <c r="N30" i="12" s="1"/>
  <c r="M29" i="12"/>
  <c r="K29" i="12" s="1"/>
  <c r="M28" i="12"/>
  <c r="O28" i="12" s="1"/>
  <c r="N28" i="12" s="1"/>
  <c r="M27" i="12"/>
  <c r="O27" i="12" s="1"/>
  <c r="N27" i="12" s="1"/>
  <c r="M26" i="12"/>
  <c r="O26" i="12" s="1"/>
  <c r="N26" i="12" s="1"/>
  <c r="M24" i="12"/>
  <c r="O24" i="12" s="1"/>
  <c r="N24" i="12" s="1"/>
  <c r="M23" i="12"/>
  <c r="O23" i="12" s="1"/>
  <c r="N23" i="12" s="1"/>
  <c r="M22" i="12"/>
  <c r="O22" i="12" s="1"/>
  <c r="N22" i="12" s="1"/>
  <c r="M21" i="12"/>
  <c r="O21" i="12" s="1"/>
  <c r="N21" i="12" s="1"/>
  <c r="M20" i="12"/>
  <c r="O20" i="12" s="1"/>
  <c r="N20" i="12" s="1"/>
  <c r="M19" i="12"/>
  <c r="O19" i="12" s="1"/>
  <c r="N19" i="12" s="1"/>
  <c r="M18" i="12"/>
  <c r="O18" i="12" s="1"/>
  <c r="N18" i="12" s="1"/>
  <c r="F18" i="12"/>
  <c r="D18" i="12" s="1"/>
  <c r="M17" i="12"/>
  <c r="O17" i="12" s="1"/>
  <c r="N17" i="12" s="1"/>
  <c r="M16" i="12"/>
  <c r="O16" i="12" s="1"/>
  <c r="N16" i="12" s="1"/>
  <c r="M15" i="12"/>
  <c r="O15" i="12" s="1"/>
  <c r="N15" i="12" s="1"/>
  <c r="M14" i="12"/>
  <c r="O14" i="12" s="1"/>
  <c r="N14" i="12" s="1"/>
  <c r="M13" i="12"/>
  <c r="O13" i="12" s="1"/>
  <c r="N13" i="12" s="1"/>
  <c r="M12" i="12"/>
  <c r="O12" i="12" s="1"/>
  <c r="N12" i="12" s="1"/>
  <c r="M10" i="12"/>
  <c r="O10" i="12" s="1"/>
  <c r="N10" i="12" s="1"/>
  <c r="M9" i="12"/>
  <c r="O9" i="12" s="1"/>
  <c r="N9" i="12" s="1"/>
  <c r="M8" i="12"/>
  <c r="K8" i="12" s="1"/>
  <c r="N8" i="12" s="1"/>
  <c r="M7" i="12"/>
  <c r="O7" i="12" s="1"/>
  <c r="M5" i="12"/>
  <c r="K5" i="12" s="1"/>
  <c r="N5" i="12" s="1"/>
  <c r="M4" i="12"/>
  <c r="O4" i="12" s="1"/>
  <c r="N4" i="12" s="1"/>
  <c r="M3" i="12"/>
  <c r="K3" i="12" s="1"/>
  <c r="N3" i="12" s="1"/>
  <c r="M6" i="12"/>
  <c r="F38" i="12"/>
  <c r="H38" i="12" s="1"/>
  <c r="G38" i="12" s="1"/>
  <c r="F37" i="12"/>
  <c r="D37" i="12" s="1"/>
  <c r="H34" i="12"/>
  <c r="G34" i="12" s="1"/>
  <c r="F34" i="12"/>
  <c r="F33" i="12"/>
  <c r="H33" i="12" s="1"/>
  <c r="G33" i="12" s="1"/>
  <c r="F32" i="12"/>
  <c r="D32" i="12" s="1"/>
  <c r="F30" i="12"/>
  <c r="D30" i="12" s="1"/>
  <c r="F29" i="12"/>
  <c r="D29" i="12" s="1"/>
  <c r="F35" i="12"/>
  <c r="H35" i="12" s="1"/>
  <c r="G35" i="12" s="1"/>
  <c r="H28" i="12"/>
  <c r="G28" i="12" s="1"/>
  <c r="F28" i="12"/>
  <c r="D28" i="12" s="1"/>
  <c r="F27" i="12"/>
  <c r="D27" i="12" s="1"/>
  <c r="F26" i="12"/>
  <c r="H26" i="12" s="1"/>
  <c r="G26" i="12" s="1"/>
  <c r="F24" i="12"/>
  <c r="H24" i="12" s="1"/>
  <c r="G24" i="12" s="1"/>
  <c r="F23" i="12"/>
  <c r="H23" i="12" s="1"/>
  <c r="G23" i="12" s="1"/>
  <c r="F22" i="12"/>
  <c r="H22" i="12" s="1"/>
  <c r="G22" i="12" s="1"/>
  <c r="F21" i="12"/>
  <c r="H21" i="12" s="1"/>
  <c r="G21" i="12" s="1"/>
  <c r="F20" i="12"/>
  <c r="H20" i="12" s="1"/>
  <c r="G20" i="12" s="1"/>
  <c r="F19" i="12"/>
  <c r="H19" i="12" s="1"/>
  <c r="G19" i="12" s="1"/>
  <c r="F17" i="12"/>
  <c r="D17" i="12" s="1"/>
  <c r="F16" i="12"/>
  <c r="D16" i="12" s="1"/>
  <c r="F13" i="12"/>
  <c r="H13" i="12" s="1"/>
  <c r="G13" i="12" s="1"/>
  <c r="F15" i="12"/>
  <c r="D15" i="12" s="1"/>
  <c r="F14" i="12"/>
  <c r="H14" i="12" s="1"/>
  <c r="G14" i="12" s="1"/>
  <c r="F12" i="12"/>
  <c r="H12" i="12" s="1"/>
  <c r="G12" i="12" s="1"/>
  <c r="F10" i="12"/>
  <c r="D10" i="12" s="1"/>
  <c r="F9" i="12"/>
  <c r="H9" i="12" s="1"/>
  <c r="G9" i="12" s="1"/>
  <c r="F8" i="12"/>
  <c r="D8" i="12" s="1"/>
  <c r="G8" i="12" s="1"/>
  <c r="F7" i="12"/>
  <c r="H7" i="12" s="1"/>
  <c r="G7" i="12" s="1"/>
  <c r="F5" i="12"/>
  <c r="D5" i="12" s="1"/>
  <c r="G5" i="12" s="1"/>
  <c r="I5" i="12" s="1"/>
  <c r="J5" i="12" s="1"/>
  <c r="F4" i="12"/>
  <c r="H4" i="12" s="1"/>
  <c r="G4" i="12" s="1"/>
  <c r="F3" i="12"/>
  <c r="D3" i="12" s="1"/>
  <c r="D38" i="12"/>
  <c r="H36" i="12"/>
  <c r="G36" i="12" s="1"/>
  <c r="D35" i="12"/>
  <c r="D14" i="12"/>
  <c r="D4" i="12"/>
  <c r="D34" i="12"/>
  <c r="D33" i="12"/>
  <c r="D23" i="12"/>
  <c r="F6" i="12"/>
  <c r="AA38" i="12"/>
  <c r="Y38" i="12" s="1"/>
  <c r="AB38" i="12" s="1"/>
  <c r="AA37" i="12"/>
  <c r="Y37" i="12" s="1"/>
  <c r="AB37" i="12" s="1"/>
  <c r="AA36" i="12"/>
  <c r="AC36" i="12" s="1"/>
  <c r="AB36" i="12" s="1"/>
  <c r="AC35" i="12"/>
  <c r="AB35" i="12" s="1"/>
  <c r="AA35" i="12"/>
  <c r="Y35" i="12" s="1"/>
  <c r="AC34" i="12"/>
  <c r="AB34" i="12" s="1"/>
  <c r="AA34" i="12"/>
  <c r="Y34" i="12" s="1"/>
  <c r="AC33" i="12"/>
  <c r="AB33" i="12" s="1"/>
  <c r="AA33" i="12"/>
  <c r="Y33" i="12" s="1"/>
  <c r="AC32" i="12"/>
  <c r="AB32" i="12" s="1"/>
  <c r="AA32" i="12"/>
  <c r="Y32" i="12" s="1"/>
  <c r="AC30" i="12"/>
  <c r="AB30" i="12" s="1"/>
  <c r="AA30" i="12"/>
  <c r="Y30" i="12" s="1"/>
  <c r="AC28" i="12"/>
  <c r="AB28" i="12" s="1"/>
  <c r="AA28" i="12"/>
  <c r="Y28" i="12" s="1"/>
  <c r="AC27" i="12"/>
  <c r="AB27" i="12" s="1"/>
  <c r="AA27" i="12"/>
  <c r="Y27" i="12" s="1"/>
  <c r="AC26" i="12"/>
  <c r="AB26" i="12" s="1"/>
  <c r="AA26" i="12"/>
  <c r="Y26" i="12" s="1"/>
  <c r="AC24" i="12"/>
  <c r="AB24" i="12" s="1"/>
  <c r="AA24" i="12"/>
  <c r="Y24" i="12" s="1"/>
  <c r="AC23" i="12"/>
  <c r="AB23" i="12" s="1"/>
  <c r="AA23" i="12"/>
  <c r="Y23" i="12" s="1"/>
  <c r="AC21" i="12"/>
  <c r="AB21" i="12" s="1"/>
  <c r="AA21" i="12"/>
  <c r="Y21" i="12" s="1"/>
  <c r="AC20" i="12"/>
  <c r="AB20" i="12" s="1"/>
  <c r="AA20" i="12"/>
  <c r="Y20" i="12" s="1"/>
  <c r="AC19" i="12"/>
  <c r="AB19" i="12" s="1"/>
  <c r="AA19" i="12"/>
  <c r="Y19" i="12" s="1"/>
  <c r="AC18" i="12"/>
  <c r="AB18" i="12" s="1"/>
  <c r="AA18" i="12"/>
  <c r="Y18" i="12" s="1"/>
  <c r="AC17" i="12"/>
  <c r="AB17" i="12" s="1"/>
  <c r="AA17" i="12"/>
  <c r="Y17" i="12" s="1"/>
  <c r="AC16" i="12"/>
  <c r="AB16" i="12" s="1"/>
  <c r="AA16" i="12"/>
  <c r="Y16" i="12" s="1"/>
  <c r="AC15" i="12"/>
  <c r="AB15" i="12" s="1"/>
  <c r="AA15" i="12"/>
  <c r="Y15" i="12" s="1"/>
  <c r="AC14" i="12"/>
  <c r="AB14" i="12" s="1"/>
  <c r="AA14" i="12"/>
  <c r="Y14" i="12" s="1"/>
  <c r="AC13" i="12"/>
  <c r="AB13" i="12" s="1"/>
  <c r="AA13" i="12"/>
  <c r="Y13" i="12" s="1"/>
  <c r="AC12" i="12"/>
  <c r="AB12" i="12" s="1"/>
  <c r="AA12" i="12"/>
  <c r="Y12" i="12" s="1"/>
  <c r="AA9" i="12"/>
  <c r="AC9" i="12" s="1"/>
  <c r="AB9" i="12" s="1"/>
  <c r="AC7" i="12"/>
  <c r="AB7" i="12" s="1"/>
  <c r="AA7" i="12"/>
  <c r="Y7" i="12" s="1"/>
  <c r="AA5" i="12"/>
  <c r="Y5" i="12" s="1"/>
  <c r="AB5" i="12" s="1"/>
  <c r="AD5" i="12" s="1"/>
  <c r="AE5" i="12" s="1"/>
  <c r="AA4" i="12"/>
  <c r="Y4" i="12" s="1"/>
  <c r="AB4" i="12" s="1"/>
  <c r="AA3" i="12"/>
  <c r="Y3" i="12" s="1"/>
  <c r="AB3" i="12" s="1"/>
  <c r="AD3" i="12" s="1"/>
  <c r="AE3" i="12" s="1"/>
  <c r="AA8" i="12"/>
  <c r="Y8" i="12" s="1"/>
  <c r="AB8" i="12" s="1"/>
  <c r="AB6" i="12"/>
  <c r="AC6" i="12" s="1"/>
  <c r="AA6" i="12"/>
  <c r="AC29" i="12"/>
  <c r="AB29" i="12" s="1"/>
  <c r="Y29" i="12"/>
  <c r="O6" i="12" l="1"/>
  <c r="W6" i="12"/>
  <c r="X6" i="12" s="1"/>
  <c r="W37" i="12"/>
  <c r="X37" i="12" s="1"/>
  <c r="R37" i="12"/>
  <c r="W35" i="12"/>
  <c r="X35" i="12" s="1"/>
  <c r="R35" i="12"/>
  <c r="W32" i="12"/>
  <c r="X32" i="12" s="1"/>
  <c r="R32" i="12"/>
  <c r="W36" i="12"/>
  <c r="X36" i="12" s="1"/>
  <c r="R38" i="12"/>
  <c r="W38" i="12" s="1"/>
  <c r="X38" i="12" s="1"/>
  <c r="V30" i="12"/>
  <c r="U30" i="12" s="1"/>
  <c r="W30" i="12" s="1"/>
  <c r="X30" i="12" s="1"/>
  <c r="V28" i="12"/>
  <c r="U28" i="12" s="1"/>
  <c r="W28" i="12" s="1"/>
  <c r="X28" i="12" s="1"/>
  <c r="W27" i="12"/>
  <c r="X27" i="12" s="1"/>
  <c r="W26" i="12"/>
  <c r="X26" i="12" s="1"/>
  <c r="R27" i="12"/>
  <c r="R29" i="12"/>
  <c r="W29" i="12" s="1"/>
  <c r="X29" i="12" s="1"/>
  <c r="W23" i="12"/>
  <c r="X23" i="12" s="1"/>
  <c r="W16" i="12"/>
  <c r="X16" i="12" s="1"/>
  <c r="R13" i="12"/>
  <c r="W13" i="12" s="1"/>
  <c r="X13" i="12" s="1"/>
  <c r="R15" i="12"/>
  <c r="W15" i="12" s="1"/>
  <c r="X15" i="12" s="1"/>
  <c r="R17" i="12"/>
  <c r="W17" i="12" s="1"/>
  <c r="X17" i="12" s="1"/>
  <c r="R19" i="12"/>
  <c r="W19" i="12" s="1"/>
  <c r="X19" i="12" s="1"/>
  <c r="R21" i="12"/>
  <c r="W21" i="12" s="1"/>
  <c r="X21" i="12" s="1"/>
  <c r="R23" i="12"/>
  <c r="R12" i="12"/>
  <c r="W12" i="12" s="1"/>
  <c r="X12" i="12" s="1"/>
  <c r="R14" i="12"/>
  <c r="W14" i="12" s="1"/>
  <c r="X14" i="12" s="1"/>
  <c r="R16" i="12"/>
  <c r="R18" i="12"/>
  <c r="W18" i="12" s="1"/>
  <c r="X18" i="12" s="1"/>
  <c r="R20" i="12"/>
  <c r="W20" i="12" s="1"/>
  <c r="X20" i="12" s="1"/>
  <c r="R22" i="12"/>
  <c r="W22" i="12" s="1"/>
  <c r="X22" i="12" s="1"/>
  <c r="R24" i="12"/>
  <c r="W24" i="12" s="1"/>
  <c r="X24" i="12" s="1"/>
  <c r="W4" i="12"/>
  <c r="X4" i="12" s="1"/>
  <c r="R4" i="12"/>
  <c r="W9" i="12"/>
  <c r="X9" i="12" s="1"/>
  <c r="W3" i="12"/>
  <c r="X3" i="12" s="1"/>
  <c r="V3" i="12"/>
  <c r="W5" i="12"/>
  <c r="X5" i="12" s="1"/>
  <c r="V5" i="12"/>
  <c r="W8" i="12"/>
  <c r="X8" i="12" s="1"/>
  <c r="V8" i="12"/>
  <c r="R9" i="12"/>
  <c r="D26" i="12"/>
  <c r="I26" i="12" s="1"/>
  <c r="J26" i="12" s="1"/>
  <c r="I38" i="12"/>
  <c r="J38" i="12" s="1"/>
  <c r="H37" i="12"/>
  <c r="G37" i="12" s="1"/>
  <c r="I37" i="12" s="1"/>
  <c r="J37" i="12" s="1"/>
  <c r="H29" i="12"/>
  <c r="G29" i="12" s="1"/>
  <c r="K35" i="12"/>
  <c r="H30" i="12"/>
  <c r="G30" i="12" s="1"/>
  <c r="D24" i="12"/>
  <c r="I24" i="12" s="1"/>
  <c r="J24" i="12" s="1"/>
  <c r="H32" i="12"/>
  <c r="G32" i="12" s="1"/>
  <c r="K4" i="12"/>
  <c r="P4" i="12" s="1"/>
  <c r="Q4" i="12" s="1"/>
  <c r="O33" i="12"/>
  <c r="N33" i="12" s="1"/>
  <c r="P33" i="12" s="1"/>
  <c r="Q33" i="12" s="1"/>
  <c r="K27" i="12"/>
  <c r="P27" i="12" s="1"/>
  <c r="Q27" i="12" s="1"/>
  <c r="K38" i="12"/>
  <c r="P38" i="12" s="1"/>
  <c r="Q38" i="12" s="1"/>
  <c r="K37" i="12"/>
  <c r="P37" i="12" s="1"/>
  <c r="Q37" i="12" s="1"/>
  <c r="P35" i="12"/>
  <c r="Q35" i="12" s="1"/>
  <c r="K32" i="12"/>
  <c r="P32" i="12" s="1"/>
  <c r="Q32" i="12" s="1"/>
  <c r="K34" i="12"/>
  <c r="P34" i="12" s="1"/>
  <c r="Q34" i="12" s="1"/>
  <c r="O29" i="12"/>
  <c r="N29" i="12" s="1"/>
  <c r="P29" i="12" s="1"/>
  <c r="Q29" i="12" s="1"/>
  <c r="K26" i="12"/>
  <c r="P26" i="12" s="1"/>
  <c r="Q26" i="12" s="1"/>
  <c r="K28" i="12"/>
  <c r="P28" i="12" s="1"/>
  <c r="Q28" i="12" s="1"/>
  <c r="K30" i="12"/>
  <c r="P30" i="12" s="1"/>
  <c r="Q30" i="12" s="1"/>
  <c r="K17" i="12"/>
  <c r="P17" i="12" s="1"/>
  <c r="Q17" i="12" s="1"/>
  <c r="K19" i="12"/>
  <c r="P19" i="12" s="1"/>
  <c r="Q19" i="12" s="1"/>
  <c r="K21" i="12"/>
  <c r="P21" i="12" s="1"/>
  <c r="Q21" i="12" s="1"/>
  <c r="K23" i="12"/>
  <c r="P23" i="12" s="1"/>
  <c r="Q23" i="12" s="1"/>
  <c r="K18" i="12"/>
  <c r="P18" i="12" s="1"/>
  <c r="Q18" i="12" s="1"/>
  <c r="K20" i="12"/>
  <c r="P20" i="12" s="1"/>
  <c r="Q20" i="12" s="1"/>
  <c r="K22" i="12"/>
  <c r="P22" i="12" s="1"/>
  <c r="Q22" i="12" s="1"/>
  <c r="K24" i="12"/>
  <c r="P24" i="12" s="1"/>
  <c r="Q24" i="12" s="1"/>
  <c r="K15" i="12"/>
  <c r="P15" i="12" s="1"/>
  <c r="Q15" i="12" s="1"/>
  <c r="K16" i="12"/>
  <c r="P16" i="12" s="1"/>
  <c r="Q16" i="12" s="1"/>
  <c r="K13" i="12"/>
  <c r="P13" i="12" s="1"/>
  <c r="Q13" i="12" s="1"/>
  <c r="K12" i="12"/>
  <c r="P12" i="12" s="1"/>
  <c r="Q12" i="12" s="1"/>
  <c r="K14" i="12"/>
  <c r="P14" i="12" s="1"/>
  <c r="Q14" i="12" s="1"/>
  <c r="P5" i="12"/>
  <c r="Q5" i="12" s="1"/>
  <c r="O5" i="12"/>
  <c r="P3" i="12"/>
  <c r="Q3" i="12" s="1"/>
  <c r="O3" i="12"/>
  <c r="P8" i="12"/>
  <c r="Q8" i="12" s="1"/>
  <c r="O8" i="12"/>
  <c r="K7" i="12"/>
  <c r="P7" i="12" s="1"/>
  <c r="Q7" i="12" s="1"/>
  <c r="K9" i="12"/>
  <c r="P9" i="12" s="1"/>
  <c r="Q9" i="12" s="1"/>
  <c r="K10" i="12"/>
  <c r="P10" i="12" s="1"/>
  <c r="Q10" i="12" s="1"/>
  <c r="I29" i="12"/>
  <c r="J29" i="12" s="1"/>
  <c r="D12" i="12"/>
  <c r="I12" i="12" s="1"/>
  <c r="J12" i="12" s="1"/>
  <c r="H27" i="12"/>
  <c r="G27" i="12" s="1"/>
  <c r="I27" i="12" s="1"/>
  <c r="J27" i="12" s="1"/>
  <c r="D21" i="12"/>
  <c r="I21" i="12" s="1"/>
  <c r="J21" i="12" s="1"/>
  <c r="D19" i="12"/>
  <c r="I19" i="12" s="1"/>
  <c r="J19" i="12" s="1"/>
  <c r="H10" i="12"/>
  <c r="G10" i="12" s="1"/>
  <c r="I10" i="12" s="1"/>
  <c r="J10" i="12" s="1"/>
  <c r="D20" i="12"/>
  <c r="I20" i="12" s="1"/>
  <c r="J20" i="12" s="1"/>
  <c r="D22" i="12"/>
  <c r="I22" i="12" s="1"/>
  <c r="J22" i="12" s="1"/>
  <c r="H15" i="12"/>
  <c r="G15" i="12" s="1"/>
  <c r="I15" i="12" s="1"/>
  <c r="J15" i="12" s="1"/>
  <c r="H17" i="12"/>
  <c r="G17" i="12" s="1"/>
  <c r="I17" i="12" s="1"/>
  <c r="J17" i="12" s="1"/>
  <c r="H18" i="12"/>
  <c r="G18" i="12" s="1"/>
  <c r="I18" i="12" s="1"/>
  <c r="J18" i="12" s="1"/>
  <c r="D7" i="12"/>
  <c r="I7" i="12" s="1"/>
  <c r="J7" i="12" s="1"/>
  <c r="H16" i="12"/>
  <c r="G16" i="12" s="1"/>
  <c r="I16" i="12" s="1"/>
  <c r="J16" i="12" s="1"/>
  <c r="D13" i="12"/>
  <c r="I13" i="12" s="1"/>
  <c r="J13" i="12" s="1"/>
  <c r="M39" i="12"/>
  <c r="AB41" i="12"/>
  <c r="Y36" i="12"/>
  <c r="AD36" i="12" s="1"/>
  <c r="AE36" i="12" s="1"/>
  <c r="D36" i="12"/>
  <c r="I36" i="12" s="1"/>
  <c r="J36" i="12" s="1"/>
  <c r="I28" i="12"/>
  <c r="J28" i="12" s="1"/>
  <c r="D9" i="12"/>
  <c r="I9" i="12" s="1"/>
  <c r="J9" i="12" s="1"/>
  <c r="F39" i="12"/>
  <c r="G3" i="12"/>
  <c r="I14" i="12"/>
  <c r="J14" i="12" s="1"/>
  <c r="I23" i="12"/>
  <c r="J23" i="12" s="1"/>
  <c r="I32" i="12"/>
  <c r="J32" i="12" s="1"/>
  <c r="I34" i="12"/>
  <c r="J34" i="12" s="1"/>
  <c r="I8" i="12"/>
  <c r="J8" i="12" s="1"/>
  <c r="H8" i="12"/>
  <c r="I30" i="12"/>
  <c r="J30" i="12" s="1"/>
  <c r="I33" i="12"/>
  <c r="J33" i="12" s="1"/>
  <c r="I35" i="12"/>
  <c r="J35" i="12" s="1"/>
  <c r="I4" i="12"/>
  <c r="J4" i="12" s="1"/>
  <c r="AD29" i="12"/>
  <c r="AE29" i="12" s="1"/>
  <c r="H5" i="12"/>
  <c r="AD24" i="12"/>
  <c r="AE24" i="12" s="1"/>
  <c r="AD26" i="12"/>
  <c r="AE26" i="12" s="1"/>
  <c r="H6" i="12"/>
  <c r="AD28" i="12"/>
  <c r="AE28" i="12" s="1"/>
  <c r="AD35" i="12"/>
  <c r="AE35" i="12" s="1"/>
  <c r="AD33" i="12"/>
  <c r="AE33" i="12" s="1"/>
  <c r="AD32" i="12"/>
  <c r="AE32" i="12" s="1"/>
  <c r="AD30" i="12"/>
  <c r="AE30" i="12" s="1"/>
  <c r="AD27" i="12"/>
  <c r="AE27" i="12" s="1"/>
  <c r="AD23" i="12"/>
  <c r="AE23" i="12" s="1"/>
  <c r="AD21" i="12"/>
  <c r="AE21" i="12" s="1"/>
  <c r="AD20" i="12"/>
  <c r="AE20" i="12" s="1"/>
  <c r="AD19" i="12"/>
  <c r="AE19" i="12" s="1"/>
  <c r="AD18" i="12"/>
  <c r="AE18" i="12" s="1"/>
  <c r="AD17" i="12"/>
  <c r="AE17" i="12" s="1"/>
  <c r="AD16" i="12"/>
  <c r="AE16" i="12" s="1"/>
  <c r="AD15" i="12"/>
  <c r="AE15" i="12" s="1"/>
  <c r="AD14" i="12"/>
  <c r="AE14" i="12" s="1"/>
  <c r="AD13" i="12"/>
  <c r="AE13" i="12" s="1"/>
  <c r="AD12" i="12"/>
  <c r="AE12" i="12" s="1"/>
  <c r="Y9" i="12"/>
  <c r="AD9" i="12" s="1"/>
  <c r="AE9" i="12" s="1"/>
  <c r="AA39" i="12"/>
  <c r="AD7" i="12"/>
  <c r="AE7" i="12" s="1"/>
  <c r="AC8" i="12"/>
  <c r="AD8" i="12"/>
  <c r="AE8" i="12" s="1"/>
  <c r="AC4" i="12"/>
  <c r="AD4" i="12"/>
  <c r="AE4" i="12" s="1"/>
  <c r="AC3" i="12"/>
  <c r="AD6" i="12"/>
  <c r="AE6" i="12" s="1"/>
  <c r="AC5" i="12"/>
  <c r="AD37" i="12"/>
  <c r="AE37" i="12" s="1"/>
  <c r="AC37" i="12"/>
  <c r="AD38" i="12"/>
  <c r="AE38" i="12" s="1"/>
  <c r="AC38" i="12"/>
  <c r="AD34" i="12"/>
  <c r="AE34" i="12" s="1"/>
  <c r="T39" i="12"/>
  <c r="U39" i="12" l="1"/>
  <c r="N41" i="12"/>
  <c r="K39" i="12"/>
  <c r="N39" i="12"/>
  <c r="Q39" i="12"/>
  <c r="P39" i="12"/>
  <c r="O39" i="12"/>
  <c r="D39" i="12"/>
  <c r="G45" i="12" s="1"/>
  <c r="G46" i="12" s="1"/>
  <c r="I3" i="12"/>
  <c r="J3" i="12" s="1"/>
  <c r="H3" i="12"/>
  <c r="Y39" i="12"/>
  <c r="AB39" i="12"/>
  <c r="AC39" i="12"/>
  <c r="R39" i="12"/>
  <c r="V39" i="12"/>
  <c r="W39" i="12"/>
  <c r="X39" i="12"/>
  <c r="N46" i="12" l="1"/>
  <c r="AD39" i="12"/>
  <c r="AE39" i="12"/>
  <c r="G8" i="7" l="1"/>
  <c r="F5" i="7"/>
  <c r="G6" i="7" l="1"/>
  <c r="D7" i="7"/>
  <c r="G7" i="7" s="1"/>
  <c r="I7" i="7" s="1"/>
  <c r="J7" i="7" s="1"/>
  <c r="F13" i="7"/>
  <c r="D13" i="7" s="1"/>
  <c r="G13" i="7" s="1"/>
  <c r="F12" i="7"/>
  <c r="D12" i="7" s="1"/>
  <c r="G12" i="7" s="1"/>
  <c r="F14" i="7"/>
  <c r="D14" i="7" s="1"/>
  <c r="H7" i="7" l="1"/>
  <c r="I12" i="7"/>
  <c r="J12" i="7" s="1"/>
  <c r="H12" i="7"/>
  <c r="I13" i="7"/>
  <c r="J13" i="7" s="1"/>
  <c r="H13" i="7"/>
  <c r="F9" i="7"/>
  <c r="F11" i="7"/>
  <c r="D11" i="7" l="1"/>
  <c r="G11" i="7" s="1"/>
  <c r="G14" i="7"/>
  <c r="F10" i="7"/>
  <c r="F4" i="7"/>
  <c r="D5" i="7"/>
  <c r="G5" i="7" s="1"/>
  <c r="I11" i="7" l="1"/>
  <c r="J11" i="7" s="1"/>
  <c r="H11" i="7"/>
  <c r="I5" i="7"/>
  <c r="J5" i="7" s="1"/>
  <c r="H5" i="7"/>
  <c r="M9" i="7"/>
  <c r="O14" i="7"/>
  <c r="M14" i="7"/>
  <c r="K14" i="7" s="1"/>
  <c r="P14" i="7" s="1"/>
  <c r="Q14" i="7" s="1"/>
  <c r="K10" i="7"/>
  <c r="N10" i="7" s="1"/>
  <c r="P10" i="7" s="1"/>
  <c r="Q10" i="7" s="1"/>
  <c r="O9" i="7"/>
  <c r="K9" i="7"/>
  <c r="P9" i="7" s="1"/>
  <c r="Q9" i="7" s="1"/>
  <c r="N8" i="7"/>
  <c r="O8" i="7" s="1"/>
  <c r="M8" i="7"/>
  <c r="P6" i="7"/>
  <c r="Q6" i="7" s="1"/>
  <c r="O6" i="7"/>
  <c r="M6" i="7"/>
  <c r="M4" i="7"/>
  <c r="K4" i="7" s="1"/>
  <c r="N3" i="7"/>
  <c r="P3" i="7" s="1"/>
  <c r="Q3" i="7" s="1"/>
  <c r="M3" i="7"/>
  <c r="P8" i="7" l="1"/>
  <c r="Q8" i="7" s="1"/>
  <c r="O3" i="7"/>
  <c r="K15" i="7"/>
  <c r="N4" i="7"/>
  <c r="O10" i="7"/>
  <c r="M15" i="7"/>
  <c r="P4" i="7" l="1"/>
  <c r="O4" i="7"/>
  <c r="O15" i="7" s="1"/>
  <c r="N15" i="7"/>
  <c r="P15" i="7" l="1"/>
  <c r="Q4" i="7"/>
  <c r="Q15" i="7" s="1"/>
  <c r="D4" i="7" l="1"/>
  <c r="G4" i="7" s="1"/>
  <c r="H14" i="7"/>
  <c r="I14" i="7"/>
  <c r="J14" i="7" s="1"/>
  <c r="D10" i="7" l="1"/>
  <c r="G10" i="7" s="1"/>
  <c r="D9" i="7"/>
  <c r="G9" i="7" s="1"/>
  <c r="G15" i="7" s="1"/>
  <c r="G3" i="7"/>
  <c r="D15" i="7" l="1"/>
  <c r="H10" i="7" l="1"/>
  <c r="I10" i="7"/>
  <c r="J10" i="7" s="1"/>
  <c r="H9" i="7"/>
  <c r="I9" i="7"/>
  <c r="J9" i="7" s="1"/>
  <c r="I8" i="7"/>
  <c r="J8" i="7" s="1"/>
  <c r="H8" i="7"/>
  <c r="F8" i="7"/>
  <c r="I6" i="7"/>
  <c r="J6" i="7" s="1"/>
  <c r="H6" i="7"/>
  <c r="F6" i="7"/>
  <c r="I4" i="7"/>
  <c r="H4" i="7"/>
  <c r="I3" i="7"/>
  <c r="J3" i="7" s="1"/>
  <c r="H3" i="7"/>
  <c r="F3" i="7"/>
  <c r="F15" i="7" l="1"/>
  <c r="H15" i="7"/>
  <c r="I15" i="7"/>
  <c r="J4" i="7"/>
  <c r="J15" i="7" s="1"/>
  <c r="G39" i="12" l="1"/>
  <c r="I39" i="12"/>
  <c r="J39" i="12"/>
  <c r="H3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Dhanda</author>
  </authors>
  <commentList>
    <comment ref="F12" authorId="0" shapeId="0" xr:uid="{D2982ACB-CF23-4FD0-86CF-34B075A25C98}">
      <text>
        <r>
          <rPr>
            <sz val="9"/>
            <color indexed="81"/>
            <rFont val="Tahoma"/>
            <family val="2"/>
          </rPr>
          <t xml:space="preserve">800 ISK/pax = 300 THB/pax
</t>
        </r>
      </text>
    </comment>
    <comment ref="F13" authorId="0" shapeId="0" xr:uid="{035A0992-B1A3-4AEE-B174-523AC29F876A}">
      <text>
        <r>
          <rPr>
            <sz val="9"/>
            <color indexed="81"/>
            <rFont val="Tahoma"/>
            <family val="2"/>
          </rPr>
          <t xml:space="preserve">4200 ISK/pax = 1350 THB/pax
</t>
        </r>
      </text>
    </comment>
    <comment ref="M14" authorId="0" shapeId="0" xr:uid="{B0F24BC8-CCC5-4F18-AF92-3218BEF7C2D9}">
      <text>
        <r>
          <rPr>
            <sz val="9"/>
            <color indexed="81"/>
            <rFont val="Tahoma"/>
            <family val="2"/>
          </rPr>
          <t>-ที่พัก 72,000
-ยังไม่รวม city tax เผื่อไว้คนละ 550 Yenx4=2,200
-Parking 1,000 Yen/day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Imac</author>
    <author>Dhanda Shaanyanonda</author>
  </authors>
  <commentList>
    <comment ref="B4" authorId="0" shapeId="0" xr:uid="{ED39D606-36C2-4807-9AAD-8160D56DCE27}">
      <text>
        <r>
          <rPr>
            <b/>
            <sz val="9"/>
            <color indexed="81"/>
            <rFont val="Tahoma"/>
            <family val="2"/>
          </rPr>
          <t>ค่าวีซ่า 6200
service 1500</t>
        </r>
      </text>
    </comment>
    <comment ref="F4" authorId="1" shapeId="0" xr:uid="{B1FECC64-B3C4-4237-936D-42FCE10BC3BB}">
      <text>
        <r>
          <rPr>
            <sz val="9"/>
            <color indexed="81"/>
            <rFont val="Tahoma"/>
            <family val="2"/>
          </rPr>
          <t>- ค่าบริการขอวีซ่า Visitor Visa 600 จำนวน 190 AUD (ไม่รวมค่าธรรมเนียมบัตรเครดิต) 
- ค่าดำเนินการตรวจไบโอเมตริกซ์ผ่าน VFS Global จำนวน 735 บาท 
- ค่ายื่น 1500 บาท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" authorId="1" shapeId="0" xr:uid="{A2050D4D-8FA6-4DDD-837B-8A2E4750ACC4}">
      <text>
        <r>
          <rPr>
            <sz val="9"/>
            <color indexed="81"/>
            <rFont val="Tahoma"/>
            <family val="2"/>
          </rPr>
          <t>- ค่าบริการขอวีซ่า Visitor Visa 600 จำนวน 190 AUD (ไม่รวมค่าธรรมเนียมบัตรเครดิต) 
- ค่าดำเนินการตรวจไบโอเมตริกซ์ผ่าน VFS Global จำนวน 735 บาท 
- ค่ายื่น 1500 บาท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" authorId="1" shapeId="0" xr:uid="{C5AA91CC-C681-4101-9E37-2667717A576C}">
      <text>
        <r>
          <rPr>
            <sz val="9"/>
            <color indexed="81"/>
            <rFont val="Tahoma"/>
            <family val="2"/>
          </rPr>
          <t>- ค่าบริการขอวีซ่า Visitor Visa 600 จำนวน 190 AUD (ไม่รวมค่าธรรมเนียมบัตรเครดิต) 
- ค่าดำเนินการตรวจไบโอเมตริกซ์ผ่าน VFS Global จำนวน 735 บาท 
- ค่ายื่น 1500 บาท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" authorId="1" shapeId="0" xr:uid="{BA7448D1-340D-4EA7-B829-2D0A01CFAD6B}">
      <text>
        <r>
          <rPr>
            <sz val="9"/>
            <color indexed="81"/>
            <rFont val="Tahoma"/>
            <family val="2"/>
          </rPr>
          <t>- ค่าบริการขอวีซ่า Visitor Visa 600 จำนวน 190 AUD (ไม่รวมค่าธรรมเนียมบัตรเครดิต) 
- ค่าดำเนินการตรวจไบโอเมตริกซ์ผ่าน VFS Global จำนวน 735 บาท 
- ค่ายื่น 1500 บาท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3" authorId="1" shapeId="0" xr:uid="{6563FBD7-FD38-4630-9DAA-D90F28AC28BE}">
      <text>
        <r>
          <rPr>
            <b/>
            <sz val="9"/>
            <color indexed="81"/>
            <rFont val="Tahoma"/>
            <family val="2"/>
          </rPr>
          <t>Twin room * 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<sst xmlns="http://schemas.openxmlformats.org/spreadsheetml/2006/main" count="174" uniqueCount="114">
  <si>
    <t>No.</t>
  </si>
  <si>
    <t>Item</t>
  </si>
  <si>
    <t>Pay to</t>
  </si>
  <si>
    <r>
      <t xml:space="preserve">Cost/pax
</t>
    </r>
    <r>
      <rPr>
        <sz val="10"/>
        <color theme="1"/>
        <rFont val="Calibri"/>
        <family val="2"/>
        <scheme val="minor"/>
      </rPr>
      <t>(THB)</t>
    </r>
  </si>
  <si>
    <r>
      <t xml:space="preserve">Total Cost
</t>
    </r>
    <r>
      <rPr>
        <sz val="10"/>
        <color theme="1"/>
        <rFont val="Calibri"/>
        <family val="2"/>
        <scheme val="minor"/>
      </rPr>
      <t>(THB)</t>
    </r>
  </si>
  <si>
    <r>
      <t xml:space="preserve">Selling Price/pax
</t>
    </r>
    <r>
      <rPr>
        <sz val="10"/>
        <color theme="1"/>
        <rFont val="Calibri"/>
        <family val="2"/>
        <scheme val="minor"/>
      </rPr>
      <t>(THB)</t>
    </r>
  </si>
  <si>
    <r>
      <t xml:space="preserve">Profit/pax
</t>
    </r>
    <r>
      <rPr>
        <sz val="10"/>
        <color theme="1"/>
        <rFont val="Calibri"/>
        <family val="2"/>
        <scheme val="minor"/>
      </rPr>
      <t>(THB)</t>
    </r>
  </si>
  <si>
    <r>
      <t xml:space="preserve">Total Profit
</t>
    </r>
    <r>
      <rPr>
        <sz val="10"/>
        <color theme="1"/>
        <rFont val="Calibri"/>
        <family val="2"/>
        <scheme val="minor"/>
      </rPr>
      <t>(THB)</t>
    </r>
  </si>
  <si>
    <t>Air ticket</t>
  </si>
  <si>
    <t>Travel insurance</t>
  </si>
  <si>
    <t>Misc</t>
  </si>
  <si>
    <t>Management fee</t>
  </si>
  <si>
    <t>Ticket for OP</t>
  </si>
  <si>
    <r>
      <t xml:space="preserve">Total Selling Price
</t>
    </r>
    <r>
      <rPr>
        <sz val="10"/>
        <color theme="1"/>
        <rFont val="Calibri"/>
        <family val="2"/>
        <scheme val="minor"/>
      </rPr>
      <t>(THB)</t>
    </r>
  </si>
  <si>
    <t>AI</t>
  </si>
  <si>
    <t>AIG Plan D</t>
  </si>
  <si>
    <t>6 Pax</t>
  </si>
  <si>
    <t>Actual</t>
  </si>
  <si>
    <t>Finnair as of 20 Jun 2018</t>
  </si>
  <si>
    <t>Shengen Visa</t>
  </si>
  <si>
    <t>VFS</t>
  </si>
  <si>
    <t>Meal for OP (2,000 THB x 14 meal)</t>
  </si>
  <si>
    <t>Land cost</t>
  </si>
  <si>
    <t xml:space="preserve">1 USD = </t>
  </si>
  <si>
    <t>THB</t>
  </si>
  <si>
    <t>+ car insurance</t>
  </si>
  <si>
    <t>+viking café 800 ISK/pax</t>
  </si>
  <si>
    <t>+myvatn nature bath</t>
  </si>
  <si>
    <t>Fuel (1,500 THB x 8 days)</t>
  </si>
  <si>
    <t>กระเป๋าผ้า 250 / ซองเอกสาร 50 / ปากกา / pocket money / ถุงร้อน / ถุงฉี่ / อาหาร</t>
  </si>
  <si>
    <t>+เสื้อกันหนาว 30000 THB</t>
  </si>
  <si>
    <t>+ตัดวิดีโอ 5000 THB</t>
  </si>
  <si>
    <t>Viking café</t>
  </si>
  <si>
    <t>on site</t>
  </si>
  <si>
    <t>Guide to Iceland</t>
  </si>
  <si>
    <t>Myvatn Nature Bath</t>
  </si>
  <si>
    <t>เสื้อกันหนาว</t>
  </si>
  <si>
    <t>Iceland Private Dr.May (February 2019)</t>
  </si>
  <si>
    <t>Accommodation</t>
  </si>
  <si>
    <t>Activities</t>
  </si>
  <si>
    <t>Transportation</t>
  </si>
  <si>
    <t>9.1</t>
  </si>
  <si>
    <t>9.2</t>
  </si>
  <si>
    <t>พักเดี่ยว</t>
  </si>
  <si>
    <t>credit card</t>
  </si>
  <si>
    <t>booking.com / booked</t>
  </si>
  <si>
    <t>Credit card Full payment 3%</t>
  </si>
  <si>
    <t>10.1</t>
  </si>
  <si>
    <t>10.2</t>
  </si>
  <si>
    <t>10 Pax</t>
  </si>
  <si>
    <t>8 Pax</t>
  </si>
  <si>
    <t>9.3</t>
  </si>
  <si>
    <t>11.1</t>
  </si>
  <si>
    <t>11.2</t>
  </si>
  <si>
    <t>12.1</t>
  </si>
  <si>
    <t>12.2</t>
  </si>
  <si>
    <t>Directly</t>
  </si>
  <si>
    <t>13.1</t>
  </si>
  <si>
    <t>13.2</t>
  </si>
  <si>
    <t>Airport Limo</t>
  </si>
  <si>
    <t>12 Pax</t>
  </si>
  <si>
    <t>5 Pax</t>
  </si>
  <si>
    <t>Total income</t>
  </si>
  <si>
    <t>Total cost</t>
  </si>
  <si>
    <t>Margin</t>
  </si>
  <si>
    <t>Total Income</t>
  </si>
  <si>
    <t>Scotland - Ireland (OCT 2025)</t>
  </si>
  <si>
    <r>
      <rPr>
        <b/>
        <sz val="11"/>
        <color theme="1"/>
        <rFont val="Calibri"/>
        <family val="2"/>
        <scheme val="minor"/>
      </rPr>
      <t>5 + 2 TL</t>
    </r>
    <r>
      <rPr>
        <sz val="11"/>
        <color theme="1"/>
        <rFont val="Calibri"/>
        <family val="2"/>
        <charset val="222"/>
        <scheme val="minor"/>
      </rPr>
      <t xml:space="preserve"> (Pim, Tiger) / 1</t>
    </r>
    <r>
      <rPr>
        <b/>
        <sz val="11"/>
        <color theme="1"/>
        <rFont val="Calibri"/>
        <family val="2"/>
        <scheme val="minor"/>
      </rPr>
      <t xml:space="preserve"> Van </t>
    </r>
  </si>
  <si>
    <t>Qatar ฿42,315
as of 170225</t>
  </si>
  <si>
    <t>Allianze 12 วัน Hiphop</t>
  </si>
  <si>
    <t>Visa for OP</t>
  </si>
  <si>
    <t>Ticket OP</t>
  </si>
  <si>
    <t>OP domestic transportation</t>
  </si>
  <si>
    <t>vodafone sim (12 GB = 780 THB)</t>
  </si>
  <si>
    <r>
      <t xml:space="preserve">20-22OCT25 Novotel Edinburgh Centre </t>
    </r>
    <r>
      <rPr>
        <b/>
        <sz val="10"/>
        <rFont val="Calibri"/>
        <family val="2"/>
        <scheme val="minor"/>
      </rPr>
      <t>Clients</t>
    </r>
    <r>
      <rPr>
        <sz val="10"/>
        <rFont val="Calibri"/>
        <family val="2"/>
        <scheme val="minor"/>
      </rPr>
      <t xml:space="preserve"> - BF</t>
    </r>
  </si>
  <si>
    <t xml:space="preserve">1 GBP = </t>
  </si>
  <si>
    <r>
      <t xml:space="preserve">20-22OCT25 Novotel Edinburgh Centre </t>
    </r>
    <r>
      <rPr>
        <b/>
        <sz val="10"/>
        <rFont val="Calibri"/>
        <family val="2"/>
        <scheme val="minor"/>
      </rPr>
      <t>OP</t>
    </r>
    <r>
      <rPr>
        <sz val="10"/>
        <rFont val="Calibri"/>
        <family val="2"/>
        <scheme val="minor"/>
      </rPr>
      <t xml:space="preserve"> - BF</t>
    </r>
  </si>
  <si>
    <t>We have a very limited car park available at the premises that's chargeable £22 per night.</t>
  </si>
  <si>
    <r>
      <t xml:space="preserve">22-24OCT25 Tulloch Castle Hotel </t>
    </r>
    <r>
      <rPr>
        <b/>
        <sz val="10"/>
        <rFont val="Calibri"/>
        <family val="2"/>
        <scheme val="minor"/>
      </rPr>
      <t>Clients</t>
    </r>
    <r>
      <rPr>
        <sz val="10"/>
        <rFont val="Calibri"/>
        <family val="2"/>
        <scheme val="minor"/>
      </rPr>
      <t xml:space="preserve"> - BF</t>
    </r>
  </si>
  <si>
    <r>
      <t xml:space="preserve">22-24OCT25 Tulloch Castle Hotel </t>
    </r>
    <r>
      <rPr>
        <b/>
        <sz val="10"/>
        <rFont val="Calibri"/>
        <family val="2"/>
        <scheme val="minor"/>
      </rPr>
      <t xml:space="preserve">OP </t>
    </r>
    <r>
      <rPr>
        <sz val="10"/>
        <rFont val="Calibri"/>
        <family val="2"/>
        <scheme val="minor"/>
      </rPr>
      <t>- BF
Free public parking is possible on site (reservation is not needed)</t>
    </r>
  </si>
  <si>
    <r>
      <t xml:space="preserve">24-25OCT25 Stirling Highland Hotel </t>
    </r>
    <r>
      <rPr>
        <b/>
        <sz val="10"/>
        <rFont val="Calibri"/>
        <family val="2"/>
        <scheme val="minor"/>
      </rPr>
      <t>Clients</t>
    </r>
    <r>
      <rPr>
        <sz val="10"/>
        <rFont val="Calibri"/>
        <family val="2"/>
        <scheme val="minor"/>
      </rPr>
      <t xml:space="preserve"> - BF</t>
    </r>
  </si>
  <si>
    <r>
      <t xml:space="preserve">24-25OCT25 Stirling Highland Hotel </t>
    </r>
    <r>
      <rPr>
        <b/>
        <sz val="10"/>
        <rFont val="Calibri"/>
        <family val="2"/>
        <scheme val="minor"/>
      </rPr>
      <t xml:space="preserve">OP </t>
    </r>
    <r>
      <rPr>
        <sz val="10"/>
        <rFont val="Calibri"/>
        <family val="2"/>
        <scheme val="minor"/>
      </rPr>
      <t>- BF</t>
    </r>
  </si>
  <si>
    <r>
      <t>booking.com /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booked</t>
    </r>
  </si>
  <si>
    <t>11.3</t>
  </si>
  <si>
    <t>There will be a £10 per day for parking.</t>
  </si>
  <si>
    <r>
      <t xml:space="preserve">25-28OCT25 Hampton By Hilton Belfast City Centre </t>
    </r>
    <r>
      <rPr>
        <b/>
        <sz val="10"/>
        <rFont val="Calibri"/>
        <family val="2"/>
        <scheme val="minor"/>
      </rPr>
      <t>Clients</t>
    </r>
    <r>
      <rPr>
        <sz val="10"/>
        <rFont val="Calibri"/>
        <family val="2"/>
        <scheme val="minor"/>
      </rPr>
      <t xml:space="preserve"> - BF</t>
    </r>
  </si>
  <si>
    <r>
      <t xml:space="preserve">25-28OCT25 Hampton By Hilton Belfast City Centre </t>
    </r>
    <r>
      <rPr>
        <b/>
        <sz val="10"/>
        <rFont val="Calibri"/>
        <family val="2"/>
        <scheme val="minor"/>
      </rPr>
      <t xml:space="preserve">OP </t>
    </r>
    <r>
      <rPr>
        <sz val="10"/>
        <rFont val="Calibri"/>
        <family val="2"/>
        <scheme val="minor"/>
      </rPr>
      <t>- BF</t>
    </r>
  </si>
  <si>
    <t>We don't have on-site parking however discounted overnight parking is available at the Great Northern Car Park (multi-story located next to the hotel) The price is £14.00 per night.</t>
  </si>
  <si>
    <t>12.3</t>
  </si>
  <si>
    <r>
      <t xml:space="preserve">28-29OCT25 Hampton By Hilton Edinburgh Airport </t>
    </r>
    <r>
      <rPr>
        <b/>
        <sz val="10"/>
        <rFont val="Calibri"/>
        <family val="2"/>
        <scheme val="minor"/>
      </rPr>
      <t xml:space="preserve">Clients </t>
    </r>
    <r>
      <rPr>
        <sz val="10"/>
        <rFont val="Calibri"/>
        <family val="2"/>
        <scheme val="minor"/>
      </rPr>
      <t>- BF</t>
    </r>
  </si>
  <si>
    <r>
      <t xml:space="preserve">28-29OCT25 Hampton By Hilton Edinburgh Airport </t>
    </r>
    <r>
      <rPr>
        <b/>
        <sz val="10"/>
        <rFont val="Calibri"/>
        <family val="2"/>
        <scheme val="minor"/>
      </rPr>
      <t>OP</t>
    </r>
    <r>
      <rPr>
        <sz val="10"/>
        <rFont val="Calibri"/>
        <family val="2"/>
        <scheme val="minor"/>
      </rPr>
      <t xml:space="preserve"> - BF</t>
    </r>
  </si>
  <si>
    <t>Edinburgh Castle</t>
  </si>
  <si>
    <t>Book in advance</t>
  </si>
  <si>
    <t>boat trip on Loch Ness / Cruise Loch Ness 21 GBP per pax</t>
  </si>
  <si>
    <t>The National Wallace Monument £11.30 per pax / Free parking</t>
  </si>
  <si>
    <t>Stena Line ferry</t>
  </si>
  <si>
    <r>
      <t xml:space="preserve">the Stena Line ferry from Cairnryan to Belfast (approx. 2 hours). 11:30 - 13:45 Stena Superfast VII
the ferry from Larne back to Cairnryan. 07:30 - 09:52 Stena Superfast VIII
</t>
    </r>
    <r>
      <rPr>
        <b/>
        <sz val="10"/>
        <rFont val="Calibri"/>
        <family val="2"/>
        <scheme val="minor"/>
      </rPr>
      <t>Flexi</t>
    </r>
  </si>
  <si>
    <t>Carrick-a-Rede Rope Bridge รวมค่าเดิน Rope bridge £15.00 per pax</t>
  </si>
  <si>
    <r>
      <rPr>
        <b/>
        <sz val="10"/>
        <rFont val="Calibri"/>
        <family val="2"/>
        <scheme val="minor"/>
      </rPr>
      <t>F&amp;B for OP</t>
    </r>
    <r>
      <rPr>
        <b/>
        <u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Lunch 9 (20 GBP) / Dinner 9 (30 GBP)</t>
    </r>
  </si>
  <si>
    <t>enterprise</t>
  </si>
  <si>
    <t>Van (20OCT 07.00 - 28OCT 21.00) Ford Tourneo Custom Manual
pay now / Excess Protection</t>
  </si>
  <si>
    <t>Fuel (1200 THB/day/van) * 9 days</t>
  </si>
  <si>
    <t>Parking (1000 THB/day/van) * 9 days</t>
  </si>
  <si>
    <t>Credit card ผ่อน 6 เดือน 7.2%</t>
  </si>
  <si>
    <t>TL 4000x12 days +Photograpger 4500x10 days (Driver 4000x10 days)</t>
  </si>
  <si>
    <r>
      <rPr>
        <b/>
        <sz val="11"/>
        <color theme="1"/>
        <rFont val="Calibri"/>
        <family val="2"/>
        <scheme val="minor"/>
      </rPr>
      <t>8 + 3 TL</t>
    </r>
    <r>
      <rPr>
        <sz val="11"/>
        <color theme="1"/>
        <rFont val="Calibri"/>
        <family val="2"/>
        <charset val="222"/>
        <scheme val="minor"/>
      </rPr>
      <t xml:space="preserve"> (Pim, Tiger, xxx) / 2</t>
    </r>
    <r>
      <rPr>
        <b/>
        <sz val="11"/>
        <color theme="1"/>
        <rFont val="Calibri"/>
        <family val="2"/>
        <scheme val="minor"/>
      </rPr>
      <t xml:space="preserve"> Van</t>
    </r>
  </si>
  <si>
    <r>
      <rPr>
        <b/>
        <sz val="11"/>
        <color rgb="FFFF0000"/>
        <rFont val="Calibri"/>
        <family val="2"/>
        <scheme val="minor"/>
      </rPr>
      <t>12 + 4 TL</t>
    </r>
    <r>
      <rPr>
        <sz val="11"/>
        <color rgb="FFFF0000"/>
        <rFont val="Calibri"/>
        <family val="2"/>
        <scheme val="minor"/>
      </rPr>
      <t xml:space="preserve"> (Pim, Tiger, Film,Koko) / </t>
    </r>
    <r>
      <rPr>
        <b/>
        <sz val="11"/>
        <color rgb="FFFF0000"/>
        <rFont val="Calibri"/>
        <family val="2"/>
        <scheme val="minor"/>
      </rPr>
      <t>3 Van</t>
    </r>
  </si>
  <si>
    <r>
      <t xml:space="preserve">Cost/pax
</t>
    </r>
    <r>
      <rPr>
        <sz val="10"/>
        <color rgb="FFFF0000"/>
        <rFont val="Calibri"/>
        <family val="2"/>
        <scheme val="minor"/>
      </rPr>
      <t>(THB)</t>
    </r>
  </si>
  <si>
    <r>
      <t xml:space="preserve">Total Cost
</t>
    </r>
    <r>
      <rPr>
        <sz val="10"/>
        <color rgb="FFFF0000"/>
        <rFont val="Calibri"/>
        <family val="2"/>
        <scheme val="minor"/>
      </rPr>
      <t>(THB)</t>
    </r>
  </si>
  <si>
    <r>
      <t xml:space="preserve">Selling Price/pax
</t>
    </r>
    <r>
      <rPr>
        <sz val="10"/>
        <color rgb="FFFF0000"/>
        <rFont val="Calibri"/>
        <family val="2"/>
        <scheme val="minor"/>
      </rPr>
      <t>(THB)</t>
    </r>
  </si>
  <si>
    <r>
      <t xml:space="preserve">Total Selling Price
</t>
    </r>
    <r>
      <rPr>
        <sz val="10"/>
        <color rgb="FFFF0000"/>
        <rFont val="Calibri"/>
        <family val="2"/>
        <scheme val="minor"/>
      </rPr>
      <t>(THB)</t>
    </r>
  </si>
  <si>
    <r>
      <t xml:space="preserve">Profit/pax
</t>
    </r>
    <r>
      <rPr>
        <sz val="10"/>
        <color rgb="FFFF0000"/>
        <rFont val="Calibri"/>
        <family val="2"/>
        <scheme val="minor"/>
      </rPr>
      <t>(THB)</t>
    </r>
  </si>
  <si>
    <r>
      <t xml:space="preserve">Total Profit
</t>
    </r>
    <r>
      <rPr>
        <sz val="10"/>
        <color rgb="FFFF0000"/>
        <rFont val="Calibri"/>
        <family val="2"/>
        <scheme val="minor"/>
      </rPr>
      <t>(THB)</t>
    </r>
  </si>
  <si>
    <r>
      <rPr>
        <b/>
        <sz val="11"/>
        <color theme="1"/>
        <rFont val="Calibri"/>
        <family val="2"/>
        <scheme val="minor"/>
      </rPr>
      <t xml:space="preserve">10 + 3 TL </t>
    </r>
    <r>
      <rPr>
        <sz val="11"/>
        <color theme="1"/>
        <rFont val="Calibri"/>
        <family val="2"/>
        <charset val="222"/>
        <scheme val="minor"/>
      </rPr>
      <t xml:space="preserve">(Pim, Tiger, xxx) / </t>
    </r>
    <r>
      <rPr>
        <b/>
        <sz val="11"/>
        <color theme="1"/>
        <rFont val="Calibri"/>
        <family val="2"/>
        <scheme val="minor"/>
      </rPr>
      <t>2 Van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</si>
</sst>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฿&quot;#,##0"/>
  </numFmts>
  <fonts count="26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9"/>
      <color indexed="81"/>
      <name val="Tahoma"/>
      <family val="2"/>
    </font>
    <font>
      <sz val="10"/>
      <color rgb="FFFF000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0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strike/>
      <sz val="10"/>
      <color theme="1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  <font>
      <strike/>
      <sz val="10"/>
      <color rgb="FFFF0000"/>
      <name val="Calibri"/>
      <family val="2"/>
      <charset val="222"/>
      <scheme val="minor"/>
    </font>
    <font>
      <b/>
      <sz val="9"/>
      <color indexed="81"/>
      <name val="Tahoma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05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3" fontId="6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9" fillId="0" borderId="5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164" fontId="11" fillId="0" borderId="2" xfId="0" applyNumberFormat="1" applyFont="1" applyBorder="1" applyAlignment="1">
      <alignment horizontal="center" vertical="center"/>
    </xf>
    <xf numFmtId="3" fontId="11" fillId="0" borderId="2" xfId="0" quotePrefix="1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1" xfId="0" applyFont="1" applyBorder="1" applyAlignment="1">
      <alignment horizontal="left" vertical="center"/>
    </xf>
    <xf numFmtId="164" fontId="11" fillId="0" borderId="1" xfId="0" quotePrefix="1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3" fontId="11" fillId="0" borderId="1" xfId="0" quotePrefix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164" fontId="13" fillId="0" borderId="4" xfId="0" applyNumberFormat="1" applyFont="1" applyBorder="1" applyAlignment="1">
      <alignment horizontal="center" vertical="center"/>
    </xf>
    <xf numFmtId="3" fontId="13" fillId="0" borderId="4" xfId="0" quotePrefix="1" applyNumberFormat="1" applyFont="1" applyBorder="1" applyAlignment="1">
      <alignment horizontal="center" vertical="center"/>
    </xf>
    <xf numFmtId="164" fontId="13" fillId="0" borderId="4" xfId="0" quotePrefix="1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4" fontId="11" fillId="0" borderId="3" xfId="0" applyNumberFormat="1" applyFont="1" applyBorder="1" applyAlignment="1">
      <alignment horizontal="center" vertical="center"/>
    </xf>
    <xf numFmtId="3" fontId="11" fillId="0" borderId="3" xfId="0" quotePrefix="1" applyNumberFormat="1" applyFont="1" applyBorder="1" applyAlignment="1">
      <alignment horizontal="center" vertical="center"/>
    </xf>
    <xf numFmtId="164" fontId="11" fillId="0" borderId="3" xfId="0" quotePrefix="1" applyNumberFormat="1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164" fontId="13" fillId="0" borderId="9" xfId="0" applyNumberFormat="1" applyFont="1" applyBorder="1" applyAlignment="1">
      <alignment horizontal="center" vertical="center"/>
    </xf>
    <xf numFmtId="164" fontId="13" fillId="0" borderId="10" xfId="0" quotePrefix="1" applyNumberFormat="1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164" fontId="11" fillId="0" borderId="12" xfId="0" quotePrefix="1" applyNumberFormat="1" applyFont="1" applyBorder="1" applyAlignment="1">
      <alignment horizontal="center" vertical="center"/>
    </xf>
    <xf numFmtId="164" fontId="11" fillId="0" borderId="13" xfId="0" quotePrefix="1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0" fontId="3" fillId="0" borderId="0" xfId="0" applyFont="1"/>
    <xf numFmtId="164" fontId="10" fillId="0" borderId="0" xfId="0" applyNumberFormat="1" applyFont="1" applyAlignment="1">
      <alignment horizontal="center"/>
    </xf>
    <xf numFmtId="164" fontId="4" fillId="4" borderId="6" xfId="0" applyNumberFormat="1" applyFont="1" applyFill="1" applyBorder="1" applyAlignment="1">
      <alignment horizontal="center" vertical="center" wrapText="1"/>
    </xf>
    <xf numFmtId="3" fontId="4" fillId="4" borderId="7" xfId="0" applyNumberFormat="1" applyFont="1" applyFill="1" applyBorder="1" applyAlignment="1">
      <alignment horizontal="center" vertical="center" wrapText="1"/>
    </xf>
    <xf numFmtId="164" fontId="4" fillId="4" borderId="7" xfId="0" applyNumberFormat="1" applyFont="1" applyFill="1" applyBorder="1" applyAlignment="1">
      <alignment horizontal="center" vertical="center" wrapText="1"/>
    </xf>
    <xf numFmtId="164" fontId="4" fillId="4" borderId="8" xfId="0" applyNumberFormat="1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15" fillId="0" borderId="9" xfId="0" applyNumberFormat="1" applyFont="1" applyBorder="1" applyAlignment="1">
      <alignment horizontal="center" vertical="center"/>
    </xf>
    <xf numFmtId="3" fontId="15" fillId="0" borderId="4" xfId="0" quotePrefix="1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164" fontId="15" fillId="0" borderId="4" xfId="0" quotePrefix="1" applyNumberFormat="1" applyFont="1" applyBorder="1" applyAlignment="1">
      <alignment horizontal="center" vertical="center"/>
    </xf>
    <xf numFmtId="164" fontId="15" fillId="0" borderId="10" xfId="0" quotePrefix="1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3" fontId="9" fillId="0" borderId="3" xfId="0" quotePrefix="1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9" fillId="0" borderId="3" xfId="0" quotePrefix="1" applyNumberFormat="1" applyFont="1" applyBorder="1" applyAlignment="1">
      <alignment horizontal="center" vertical="center"/>
    </xf>
    <xf numFmtId="164" fontId="9" fillId="0" borderId="12" xfId="0" quotePrefix="1" applyNumberFormat="1" applyFont="1" applyBorder="1" applyAlignment="1">
      <alignment horizontal="center" vertical="center"/>
    </xf>
    <xf numFmtId="164" fontId="9" fillId="0" borderId="13" xfId="0" quotePrefix="1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3" fontId="9" fillId="0" borderId="1" xfId="0" quotePrefix="1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1" xfId="0" quotePrefix="1" applyNumberFormat="1" applyFont="1" applyBorder="1" applyAlignment="1">
      <alignment horizontal="center" vertical="center"/>
    </xf>
    <xf numFmtId="164" fontId="9" fillId="5" borderId="14" xfId="0" applyNumberFormat="1" applyFont="1" applyFill="1" applyBorder="1" applyAlignment="1">
      <alignment horizontal="center" vertical="center"/>
    </xf>
    <xf numFmtId="3" fontId="9" fillId="5" borderId="1" xfId="0" quotePrefix="1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64" fontId="9" fillId="5" borderId="1" xfId="0" quotePrefix="1" applyNumberFormat="1" applyFont="1" applyFill="1" applyBorder="1" applyAlignment="1">
      <alignment horizontal="center" vertical="center"/>
    </xf>
    <xf numFmtId="164" fontId="9" fillId="5" borderId="13" xfId="0" quotePrefix="1" applyNumberFormat="1" applyFont="1" applyFill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3" fontId="9" fillId="0" borderId="2" xfId="0" quotePrefix="1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9" fillId="0" borderId="2" xfId="0" quotePrefix="1" applyNumberFormat="1" applyFont="1" applyBorder="1" applyAlignment="1">
      <alignment horizontal="center" vertical="center"/>
    </xf>
    <xf numFmtId="164" fontId="9" fillId="0" borderId="16" xfId="0" quotePrefix="1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3" fontId="9" fillId="0" borderId="4" xfId="0" quotePrefix="1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9" fillId="0" borderId="4" xfId="0" quotePrefix="1" applyNumberFormat="1" applyFont="1" applyBorder="1" applyAlignment="1">
      <alignment horizontal="center" vertical="center"/>
    </xf>
    <xf numFmtId="164" fontId="9" fillId="0" borderId="10" xfId="0" quotePrefix="1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164" fontId="10" fillId="0" borderId="0" xfId="0" quotePrefix="1" applyNumberFormat="1" applyFont="1" applyAlignment="1">
      <alignment horizont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64" fontId="11" fillId="0" borderId="15" xfId="0" applyNumberFormat="1" applyFont="1" applyBorder="1" applyAlignment="1">
      <alignment horizontal="center" vertical="center"/>
    </xf>
    <xf numFmtId="164" fontId="11" fillId="0" borderId="2" xfId="0" quotePrefix="1" applyNumberFormat="1" applyFont="1" applyBorder="1" applyAlignment="1">
      <alignment horizontal="center" vertical="center"/>
    </xf>
    <xf numFmtId="164" fontId="11" fillId="0" borderId="16" xfId="0" quotePrefix="1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3" fontId="17" fillId="0" borderId="2" xfId="0" quotePrefix="1" applyNumberFormat="1" applyFont="1" applyBorder="1" applyAlignment="1">
      <alignment horizontal="center" vertical="center"/>
    </xf>
    <xf numFmtId="164" fontId="17" fillId="0" borderId="2" xfId="0" applyNumberFormat="1" applyFont="1" applyBorder="1" applyAlignment="1">
      <alignment horizontal="center" vertical="center"/>
    </xf>
    <xf numFmtId="164" fontId="17" fillId="0" borderId="15" xfId="0" applyNumberFormat="1" applyFont="1" applyBorder="1" applyAlignment="1">
      <alignment horizontal="center" vertical="center"/>
    </xf>
    <xf numFmtId="164" fontId="17" fillId="0" borderId="2" xfId="0" quotePrefix="1" applyNumberFormat="1" applyFont="1" applyBorder="1" applyAlignment="1">
      <alignment horizontal="center" vertical="center"/>
    </xf>
    <xf numFmtId="164" fontId="17" fillId="0" borderId="16" xfId="0" quotePrefix="1" applyNumberFormat="1" applyFont="1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18" fillId="0" borderId="1" xfId="0" quotePrefix="1" applyNumberFormat="1" applyFont="1" applyBorder="1" applyAlignment="1">
      <alignment horizontal="center" vertical="center"/>
    </xf>
    <xf numFmtId="164" fontId="18" fillId="0" borderId="13" xfId="0" quotePrefix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8" fillId="0" borderId="11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164" fontId="18" fillId="0" borderId="11" xfId="0" applyNumberFormat="1" applyFont="1" applyBorder="1" applyAlignment="1">
      <alignment horizontal="center" vertical="center"/>
    </xf>
    <xf numFmtId="3" fontId="18" fillId="0" borderId="3" xfId="0" quotePrefix="1" applyNumberFormat="1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164" fontId="18" fillId="0" borderId="3" xfId="0" quotePrefix="1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13" xfId="0" applyFont="1" applyBorder="1" applyAlignment="1">
      <alignment horizontal="center" vertical="center"/>
    </xf>
    <xf numFmtId="3" fontId="18" fillId="0" borderId="1" xfId="0" quotePrefix="1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3" fontId="17" fillId="0" borderId="4" xfId="0" quotePrefix="1" applyNumberFormat="1" applyFont="1" applyBorder="1" applyAlignment="1">
      <alignment horizontal="center" vertical="center"/>
    </xf>
    <xf numFmtId="0" fontId="18" fillId="3" borderId="17" xfId="0" quotePrefix="1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left" vertical="center" wrapText="1"/>
    </xf>
    <xf numFmtId="0" fontId="18" fillId="3" borderId="19" xfId="0" applyFont="1" applyFill="1" applyBorder="1" applyAlignment="1">
      <alignment horizontal="center" vertical="center"/>
    </xf>
    <xf numFmtId="164" fontId="18" fillId="3" borderId="17" xfId="0" applyNumberFormat="1" applyFont="1" applyFill="1" applyBorder="1" applyAlignment="1">
      <alignment horizontal="center" vertical="center"/>
    </xf>
    <xf numFmtId="3" fontId="18" fillId="3" borderId="18" xfId="0" quotePrefix="1" applyNumberFormat="1" applyFont="1" applyFill="1" applyBorder="1" applyAlignment="1">
      <alignment horizontal="center" vertical="center"/>
    </xf>
    <xf numFmtId="164" fontId="18" fillId="3" borderId="18" xfId="0" applyNumberFormat="1" applyFont="1" applyFill="1" applyBorder="1" applyAlignment="1">
      <alignment horizontal="center" vertical="center"/>
    </xf>
    <xf numFmtId="164" fontId="18" fillId="3" borderId="18" xfId="0" quotePrefix="1" applyNumberFormat="1" applyFont="1" applyFill="1" applyBorder="1" applyAlignment="1">
      <alignment horizontal="center" vertical="center"/>
    </xf>
    <xf numFmtId="164" fontId="18" fillId="3" borderId="19" xfId="0" quotePrefix="1" applyNumberFormat="1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left" vertical="center" wrapText="1"/>
    </xf>
    <xf numFmtId="0" fontId="18" fillId="0" borderId="12" xfId="0" applyFont="1" applyBorder="1" applyAlignment="1">
      <alignment horizontal="center" vertical="center" wrapText="1"/>
    </xf>
    <xf numFmtId="164" fontId="18" fillId="0" borderId="12" xfId="0" quotePrefix="1" applyNumberFormat="1" applyFont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164" fontId="18" fillId="6" borderId="6" xfId="0" applyNumberFormat="1" applyFont="1" applyFill="1" applyBorder="1" applyAlignment="1">
      <alignment horizontal="center" vertical="center"/>
    </xf>
    <xf numFmtId="3" fontId="18" fillId="6" borderId="7" xfId="0" quotePrefix="1" applyNumberFormat="1" applyFont="1" applyFill="1" applyBorder="1" applyAlignment="1">
      <alignment horizontal="center" vertical="center"/>
    </xf>
    <xf numFmtId="164" fontId="18" fillId="6" borderId="7" xfId="0" applyNumberFormat="1" applyFont="1" applyFill="1" applyBorder="1" applyAlignment="1">
      <alignment horizontal="center" vertical="center"/>
    </xf>
    <xf numFmtId="164" fontId="18" fillId="6" borderId="7" xfId="0" quotePrefix="1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18" fillId="0" borderId="6" xfId="0" applyFont="1" applyBorder="1" applyAlignment="1">
      <alignment horizontal="center" vertical="center"/>
    </xf>
    <xf numFmtId="0" fontId="18" fillId="6" borderId="6" xfId="0" quotePrefix="1" applyFont="1" applyFill="1" applyBorder="1" applyAlignment="1">
      <alignment horizontal="center" vertical="center"/>
    </xf>
    <xf numFmtId="164" fontId="18" fillId="6" borderId="8" xfId="0" applyNumberFormat="1" applyFont="1" applyFill="1" applyBorder="1" applyAlignment="1">
      <alignment horizontal="center" vertical="center"/>
    </xf>
    <xf numFmtId="0" fontId="18" fillId="6" borderId="20" xfId="0" quotePrefix="1" applyFont="1" applyFill="1" applyBorder="1" applyAlignment="1">
      <alignment horizontal="center" vertical="center"/>
    </xf>
    <xf numFmtId="0" fontId="18" fillId="6" borderId="21" xfId="0" applyFont="1" applyFill="1" applyBorder="1" applyAlignment="1">
      <alignment horizontal="left" vertical="center" wrapText="1"/>
    </xf>
    <xf numFmtId="0" fontId="18" fillId="6" borderId="22" xfId="0" applyFont="1" applyFill="1" applyBorder="1" applyAlignment="1">
      <alignment horizontal="center" vertical="center"/>
    </xf>
    <xf numFmtId="164" fontId="18" fillId="6" borderId="20" xfId="0" applyNumberFormat="1" applyFont="1" applyFill="1" applyBorder="1" applyAlignment="1">
      <alignment horizontal="center" vertical="center"/>
    </xf>
    <xf numFmtId="3" fontId="18" fillId="6" borderId="21" xfId="0" quotePrefix="1" applyNumberFormat="1" applyFont="1" applyFill="1" applyBorder="1" applyAlignment="1">
      <alignment horizontal="center" vertical="center"/>
    </xf>
    <xf numFmtId="164" fontId="18" fillId="6" borderId="21" xfId="0" applyNumberFormat="1" applyFont="1" applyFill="1" applyBorder="1" applyAlignment="1">
      <alignment horizontal="center" vertical="center"/>
    </xf>
    <xf numFmtId="164" fontId="18" fillId="6" borderId="21" xfId="0" quotePrefix="1" applyNumberFormat="1" applyFont="1" applyFill="1" applyBorder="1" applyAlignment="1">
      <alignment horizontal="center" vertical="center"/>
    </xf>
    <xf numFmtId="164" fontId="18" fillId="6" borderId="22" xfId="0" applyNumberFormat="1" applyFont="1" applyFill="1" applyBorder="1" applyAlignment="1">
      <alignment horizontal="center" vertical="center"/>
    </xf>
    <xf numFmtId="164" fontId="4" fillId="7" borderId="0" xfId="0" applyNumberFormat="1" applyFont="1" applyFill="1" applyAlignment="1">
      <alignment horizontal="center"/>
    </xf>
    <xf numFmtId="164" fontId="21" fillId="7" borderId="0" xfId="0" applyNumberFormat="1" applyFont="1" applyFill="1" applyAlignment="1">
      <alignment horizontal="center"/>
    </xf>
    <xf numFmtId="164" fontId="17" fillId="0" borderId="1" xfId="0" quotePrefix="1" applyNumberFormat="1" applyFont="1" applyBorder="1" applyAlignment="1">
      <alignment horizontal="center" vertical="center"/>
    </xf>
    <xf numFmtId="164" fontId="17" fillId="0" borderId="13" xfId="0" quotePrefix="1" applyNumberFormat="1" applyFont="1" applyBorder="1" applyAlignment="1">
      <alignment horizontal="center" vertical="center"/>
    </xf>
    <xf numFmtId="164" fontId="17" fillId="0" borderId="14" xfId="0" applyNumberFormat="1" applyFont="1" applyBorder="1" applyAlignment="1">
      <alignment horizontal="center" vertical="center"/>
    </xf>
    <xf numFmtId="0" fontId="18" fillId="6" borderId="14" xfId="0" quotePrefix="1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center" vertical="center"/>
    </xf>
    <xf numFmtId="164" fontId="18" fillId="6" borderId="14" xfId="0" applyNumberFormat="1" applyFont="1" applyFill="1" applyBorder="1" applyAlignment="1">
      <alignment horizontal="center" vertical="center"/>
    </xf>
    <xf numFmtId="3" fontId="18" fillId="6" borderId="1" xfId="0" quotePrefix="1" applyNumberFormat="1" applyFont="1" applyFill="1" applyBorder="1" applyAlignment="1">
      <alignment horizontal="center" vertical="center"/>
    </xf>
    <xf numFmtId="164" fontId="18" fillId="6" borderId="1" xfId="0" applyNumberFormat="1" applyFont="1" applyFill="1" applyBorder="1" applyAlignment="1">
      <alignment horizontal="center" vertical="center"/>
    </xf>
    <xf numFmtId="164" fontId="18" fillId="6" borderId="1" xfId="0" quotePrefix="1" applyNumberFormat="1" applyFont="1" applyFill="1" applyBorder="1" applyAlignment="1">
      <alignment horizontal="center" vertical="center"/>
    </xf>
    <xf numFmtId="164" fontId="18" fillId="6" borderId="13" xfId="0" applyNumberFormat="1" applyFont="1" applyFill="1" applyBorder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164" fontId="17" fillId="0" borderId="4" xfId="0" applyNumberFormat="1" applyFont="1" applyBorder="1" applyAlignment="1">
      <alignment horizontal="center" vertical="center"/>
    </xf>
    <xf numFmtId="164" fontId="17" fillId="0" borderId="4" xfId="0" quotePrefix="1" applyNumberFormat="1" applyFont="1" applyBorder="1" applyAlignment="1">
      <alignment horizontal="center" vertical="center"/>
    </xf>
    <xf numFmtId="164" fontId="17" fillId="0" borderId="10" xfId="0" quotePrefix="1" applyNumberFormat="1" applyFont="1" applyBorder="1" applyAlignment="1">
      <alignment horizontal="center" vertical="center"/>
    </xf>
    <xf numFmtId="0" fontId="18" fillId="3" borderId="14" xfId="0" quotePrefix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 wrapText="1"/>
    </xf>
    <xf numFmtId="0" fontId="18" fillId="3" borderId="13" xfId="0" applyFont="1" applyFill="1" applyBorder="1" applyAlignment="1">
      <alignment horizontal="center" vertical="center"/>
    </xf>
    <xf numFmtId="164" fontId="18" fillId="3" borderId="14" xfId="0" applyNumberFormat="1" applyFont="1" applyFill="1" applyBorder="1" applyAlignment="1">
      <alignment horizontal="center" vertical="center"/>
    </xf>
    <xf numFmtId="3" fontId="18" fillId="3" borderId="1" xfId="0" quotePrefix="1" applyNumberFormat="1" applyFont="1" applyFill="1" applyBorder="1" applyAlignment="1">
      <alignment horizontal="center" vertical="center"/>
    </xf>
    <xf numFmtId="164" fontId="18" fillId="3" borderId="1" xfId="0" applyNumberFormat="1" applyFont="1" applyFill="1" applyBorder="1" applyAlignment="1">
      <alignment horizontal="center" vertical="center"/>
    </xf>
    <xf numFmtId="164" fontId="18" fillId="3" borderId="1" xfId="0" quotePrefix="1" applyNumberFormat="1" applyFont="1" applyFill="1" applyBorder="1" applyAlignment="1">
      <alignment horizontal="center" vertical="center"/>
    </xf>
    <xf numFmtId="164" fontId="18" fillId="3" borderId="13" xfId="0" quotePrefix="1" applyNumberFormat="1" applyFont="1" applyFill="1" applyBorder="1" applyAlignment="1">
      <alignment horizontal="center" vertical="center"/>
    </xf>
    <xf numFmtId="164" fontId="18" fillId="6" borderId="8" xfId="0" quotePrefix="1" applyNumberFormat="1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left" vertical="center" wrapText="1"/>
    </xf>
    <xf numFmtId="0" fontId="18" fillId="3" borderId="6" xfId="0" quotePrefix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 wrapText="1"/>
    </xf>
    <xf numFmtId="0" fontId="18" fillId="3" borderId="8" xfId="0" applyFont="1" applyFill="1" applyBorder="1" applyAlignment="1">
      <alignment horizontal="center" vertical="center"/>
    </xf>
    <xf numFmtId="164" fontId="18" fillId="3" borderId="6" xfId="0" applyNumberFormat="1" applyFont="1" applyFill="1" applyBorder="1" applyAlignment="1">
      <alignment horizontal="center" vertical="center"/>
    </xf>
    <xf numFmtId="3" fontId="18" fillId="3" borderId="7" xfId="0" quotePrefix="1" applyNumberFormat="1" applyFont="1" applyFill="1" applyBorder="1" applyAlignment="1">
      <alignment horizontal="center" vertical="center"/>
    </xf>
    <xf numFmtId="164" fontId="18" fillId="3" borderId="7" xfId="0" applyNumberFormat="1" applyFont="1" applyFill="1" applyBorder="1" applyAlignment="1">
      <alignment horizontal="center" vertical="center"/>
    </xf>
    <xf numFmtId="164" fontId="18" fillId="3" borderId="7" xfId="0" quotePrefix="1" applyNumberFormat="1" applyFont="1" applyFill="1" applyBorder="1" applyAlignment="1">
      <alignment horizontal="center" vertical="center"/>
    </xf>
    <xf numFmtId="164" fontId="18" fillId="3" borderId="8" xfId="0" quotePrefix="1" applyNumberFormat="1" applyFont="1" applyFill="1" applyBorder="1" applyAlignment="1">
      <alignment horizontal="center" vertical="center"/>
    </xf>
    <xf numFmtId="0" fontId="18" fillId="3" borderId="20" xfId="0" quotePrefix="1" applyFont="1" applyFill="1" applyBorder="1" applyAlignment="1">
      <alignment horizontal="center" vertical="center"/>
    </xf>
    <xf numFmtId="164" fontId="18" fillId="3" borderId="20" xfId="0" applyNumberFormat="1" applyFont="1" applyFill="1" applyBorder="1" applyAlignment="1">
      <alignment horizontal="center" vertical="center"/>
    </xf>
    <xf numFmtId="3" fontId="18" fillId="3" borderId="21" xfId="0" quotePrefix="1" applyNumberFormat="1" applyFont="1" applyFill="1" applyBorder="1" applyAlignment="1">
      <alignment horizontal="center" vertical="center"/>
    </xf>
    <xf numFmtId="164" fontId="18" fillId="3" borderId="21" xfId="0" applyNumberFormat="1" applyFont="1" applyFill="1" applyBorder="1" applyAlignment="1">
      <alignment horizontal="center" vertical="center"/>
    </xf>
    <xf numFmtId="164" fontId="18" fillId="3" borderId="21" xfId="0" quotePrefix="1" applyNumberFormat="1" applyFont="1" applyFill="1" applyBorder="1" applyAlignment="1">
      <alignment horizontal="center" vertical="center"/>
    </xf>
    <xf numFmtId="164" fontId="18" fillId="3" borderId="22" xfId="0" quotePrefix="1" applyNumberFormat="1" applyFont="1" applyFill="1" applyBorder="1" applyAlignment="1">
      <alignment horizontal="center" vertical="center"/>
    </xf>
    <xf numFmtId="0" fontId="18" fillId="6" borderId="17" xfId="0" quotePrefix="1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left" vertical="center" wrapText="1"/>
    </xf>
    <xf numFmtId="0" fontId="18" fillId="6" borderId="19" xfId="0" applyFont="1" applyFill="1" applyBorder="1" applyAlignment="1">
      <alignment horizontal="center" vertical="center"/>
    </xf>
    <xf numFmtId="164" fontId="18" fillId="6" borderId="17" xfId="0" applyNumberFormat="1" applyFont="1" applyFill="1" applyBorder="1" applyAlignment="1">
      <alignment horizontal="center" vertical="center"/>
    </xf>
    <xf numFmtId="3" fontId="18" fillId="6" borderId="18" xfId="0" quotePrefix="1" applyNumberFormat="1" applyFont="1" applyFill="1" applyBorder="1" applyAlignment="1">
      <alignment horizontal="center" vertical="center"/>
    </xf>
    <xf numFmtId="164" fontId="18" fillId="6" borderId="18" xfId="0" applyNumberFormat="1" applyFont="1" applyFill="1" applyBorder="1" applyAlignment="1">
      <alignment horizontal="center" vertical="center"/>
    </xf>
    <xf numFmtId="164" fontId="18" fillId="6" borderId="18" xfId="0" quotePrefix="1" applyNumberFormat="1" applyFont="1" applyFill="1" applyBorder="1" applyAlignment="1">
      <alignment horizontal="center" vertical="center"/>
    </xf>
    <xf numFmtId="164" fontId="18" fillId="6" borderId="19" xfId="0" applyNumberFormat="1" applyFont="1" applyFill="1" applyBorder="1" applyAlignment="1">
      <alignment horizontal="center" vertical="center"/>
    </xf>
    <xf numFmtId="0" fontId="18" fillId="6" borderId="9" xfId="0" quotePrefix="1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center" vertical="center"/>
    </xf>
    <xf numFmtId="164" fontId="18" fillId="6" borderId="9" xfId="0" applyNumberFormat="1" applyFont="1" applyFill="1" applyBorder="1" applyAlignment="1">
      <alignment horizontal="center" vertical="center"/>
    </xf>
    <xf numFmtId="3" fontId="18" fillId="6" borderId="4" xfId="0" quotePrefix="1" applyNumberFormat="1" applyFont="1" applyFill="1" applyBorder="1" applyAlignment="1">
      <alignment horizontal="center" vertical="center"/>
    </xf>
    <xf numFmtId="164" fontId="18" fillId="6" borderId="4" xfId="0" applyNumberFormat="1" applyFont="1" applyFill="1" applyBorder="1" applyAlignment="1">
      <alignment horizontal="center" vertical="center"/>
    </xf>
    <xf numFmtId="164" fontId="18" fillId="6" borderId="4" xfId="0" quotePrefix="1" applyNumberFormat="1" applyFont="1" applyFill="1" applyBorder="1" applyAlignment="1">
      <alignment horizontal="center" vertical="center"/>
    </xf>
    <xf numFmtId="164" fontId="18" fillId="6" borderId="10" xfId="0" applyNumberFormat="1" applyFont="1" applyFill="1" applyBorder="1" applyAlignment="1">
      <alignment horizontal="center" vertical="center"/>
    </xf>
    <xf numFmtId="0" fontId="18" fillId="6" borderId="7" xfId="0" quotePrefix="1" applyFont="1" applyFill="1" applyBorder="1" applyAlignment="1">
      <alignment horizontal="left" vertical="center" wrapText="1"/>
    </xf>
    <xf numFmtId="0" fontId="18" fillId="6" borderId="1" xfId="0" quotePrefix="1" applyFont="1" applyFill="1" applyBorder="1" applyAlignment="1">
      <alignment horizontal="left" vertical="center" wrapText="1"/>
    </xf>
    <xf numFmtId="164" fontId="18" fillId="6" borderId="13" xfId="0" quotePrefix="1" applyNumberFormat="1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0" borderId="16" xfId="0" applyFont="1" applyBorder="1" applyAlignment="1">
      <alignment horizontal="center" vertical="center"/>
    </xf>
    <xf numFmtId="3" fontId="18" fillId="0" borderId="2" xfId="0" quotePrefix="1" applyNumberFormat="1" applyFont="1" applyBorder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164" fontId="18" fillId="0" borderId="15" xfId="0" applyNumberFormat="1" applyFont="1" applyBorder="1" applyAlignment="1">
      <alignment horizontal="center" vertical="center"/>
    </xf>
    <xf numFmtId="164" fontId="18" fillId="0" borderId="2" xfId="0" quotePrefix="1" applyNumberFormat="1" applyFont="1" applyBorder="1" applyAlignment="1">
      <alignment horizontal="center" vertical="center"/>
    </xf>
    <xf numFmtId="164" fontId="18" fillId="0" borderId="16" xfId="0" quotePrefix="1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/>
    </xf>
    <xf numFmtId="164" fontId="18" fillId="0" borderId="0" xfId="0" applyNumberFormat="1" applyFont="1" applyAlignment="1">
      <alignment horizontal="center"/>
    </xf>
    <xf numFmtId="164" fontId="4" fillId="3" borderId="6" xfId="0" applyNumberFormat="1" applyFont="1" applyFill="1" applyBorder="1" applyAlignment="1">
      <alignment horizontal="center" vertical="center" wrapText="1"/>
    </xf>
    <xf numFmtId="3" fontId="4" fillId="3" borderId="7" xfId="0" applyNumberFormat="1" applyFont="1" applyFill="1" applyBorder="1" applyAlignment="1">
      <alignment horizontal="center" vertical="center" wrapText="1"/>
    </xf>
    <xf numFmtId="164" fontId="4" fillId="3" borderId="7" xfId="0" applyNumberFormat="1" applyFont="1" applyFill="1" applyBorder="1" applyAlignment="1">
      <alignment horizontal="center" vertical="center" wrapText="1"/>
    </xf>
    <xf numFmtId="164" fontId="4" fillId="3" borderId="8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164" fontId="0" fillId="0" borderId="23" xfId="0" applyNumberFormat="1" applyBorder="1" applyAlignment="1">
      <alignment horizontal="center"/>
    </xf>
    <xf numFmtId="164" fontId="2" fillId="0" borderId="0" xfId="0" applyNumberFormat="1" applyFont="1" applyAlignment="1">
      <alignment horizontal="left"/>
    </xf>
    <xf numFmtId="164" fontId="17" fillId="3" borderId="14" xfId="0" applyNumberFormat="1" applyFont="1" applyFill="1" applyBorder="1" applyAlignment="1">
      <alignment horizontal="center" vertical="center"/>
    </xf>
    <xf numFmtId="3" fontId="17" fillId="3" borderId="1" xfId="0" quotePrefix="1" applyNumberFormat="1" applyFont="1" applyFill="1" applyBorder="1" applyAlignment="1">
      <alignment horizontal="center" vertical="center"/>
    </xf>
    <xf numFmtId="164" fontId="17" fillId="3" borderId="1" xfId="0" applyNumberFormat="1" applyFont="1" applyFill="1" applyBorder="1" applyAlignment="1">
      <alignment horizontal="center" vertical="center"/>
    </xf>
    <xf numFmtId="164" fontId="17" fillId="3" borderId="1" xfId="0" quotePrefix="1" applyNumberFormat="1" applyFont="1" applyFill="1" applyBorder="1" applyAlignment="1">
      <alignment horizontal="center" vertical="center"/>
    </xf>
    <xf numFmtId="164" fontId="17" fillId="3" borderId="13" xfId="0" quotePrefix="1" applyNumberFormat="1" applyFont="1" applyFill="1" applyBorder="1" applyAlignment="1">
      <alignment horizontal="center" vertical="center"/>
    </xf>
    <xf numFmtId="164" fontId="17" fillId="6" borderId="6" xfId="0" applyNumberFormat="1" applyFont="1" applyFill="1" applyBorder="1" applyAlignment="1">
      <alignment horizontal="center" vertical="center"/>
    </xf>
    <xf numFmtId="3" fontId="17" fillId="6" borderId="7" xfId="0" quotePrefix="1" applyNumberFormat="1" applyFont="1" applyFill="1" applyBorder="1" applyAlignment="1">
      <alignment horizontal="center" vertical="center"/>
    </xf>
    <xf numFmtId="164" fontId="17" fillId="6" borderId="7" xfId="0" applyNumberFormat="1" applyFont="1" applyFill="1" applyBorder="1" applyAlignment="1">
      <alignment horizontal="center" vertical="center"/>
    </xf>
    <xf numFmtId="164" fontId="17" fillId="6" borderId="7" xfId="0" quotePrefix="1" applyNumberFormat="1" applyFont="1" applyFill="1" applyBorder="1" applyAlignment="1">
      <alignment horizontal="center" vertical="center"/>
    </xf>
    <xf numFmtId="164" fontId="17" fillId="6" borderId="8" xfId="0" quotePrefix="1" applyNumberFormat="1" applyFont="1" applyFill="1" applyBorder="1" applyAlignment="1">
      <alignment horizontal="center" vertical="center"/>
    </xf>
    <xf numFmtId="164" fontId="17" fillId="6" borderId="17" xfId="0" applyNumberFormat="1" applyFont="1" applyFill="1" applyBorder="1" applyAlignment="1">
      <alignment horizontal="center" vertical="center"/>
    </xf>
    <xf numFmtId="3" fontId="17" fillId="6" borderId="18" xfId="0" quotePrefix="1" applyNumberFormat="1" applyFont="1" applyFill="1" applyBorder="1" applyAlignment="1">
      <alignment horizontal="center" vertical="center"/>
    </xf>
    <xf numFmtId="164" fontId="17" fillId="6" borderId="18" xfId="0" applyNumberFormat="1" applyFont="1" applyFill="1" applyBorder="1" applyAlignment="1">
      <alignment horizontal="center" vertical="center"/>
    </xf>
    <xf numFmtId="164" fontId="17" fillId="6" borderId="18" xfId="0" quotePrefix="1" applyNumberFormat="1" applyFont="1" applyFill="1" applyBorder="1" applyAlignment="1">
      <alignment horizontal="center" vertical="center"/>
    </xf>
    <xf numFmtId="164" fontId="17" fillId="6" borderId="19" xfId="0" applyNumberFormat="1" applyFont="1" applyFill="1" applyBorder="1" applyAlignment="1">
      <alignment horizontal="center" vertical="center"/>
    </xf>
    <xf numFmtId="164" fontId="17" fillId="6" borderId="9" xfId="0" applyNumberFormat="1" applyFont="1" applyFill="1" applyBorder="1" applyAlignment="1">
      <alignment horizontal="center" vertical="center"/>
    </xf>
    <xf numFmtId="3" fontId="17" fillId="6" borderId="4" xfId="0" quotePrefix="1" applyNumberFormat="1" applyFont="1" applyFill="1" applyBorder="1" applyAlignment="1">
      <alignment horizontal="center" vertical="center"/>
    </xf>
    <xf numFmtId="164" fontId="17" fillId="6" borderId="4" xfId="0" applyNumberFormat="1" applyFont="1" applyFill="1" applyBorder="1" applyAlignment="1">
      <alignment horizontal="center" vertical="center"/>
    </xf>
    <xf numFmtId="164" fontId="17" fillId="6" borderId="4" xfId="0" quotePrefix="1" applyNumberFormat="1" applyFont="1" applyFill="1" applyBorder="1" applyAlignment="1">
      <alignment horizontal="center" vertical="center"/>
    </xf>
    <xf numFmtId="164" fontId="17" fillId="6" borderId="10" xfId="0" applyNumberFormat="1" applyFont="1" applyFill="1" applyBorder="1" applyAlignment="1">
      <alignment horizontal="center" vertical="center"/>
    </xf>
    <xf numFmtId="164" fontId="17" fillId="3" borderId="6" xfId="0" applyNumberFormat="1" applyFont="1" applyFill="1" applyBorder="1" applyAlignment="1">
      <alignment horizontal="center" vertical="center"/>
    </xf>
    <xf numFmtId="3" fontId="17" fillId="3" borderId="7" xfId="0" quotePrefix="1" applyNumberFormat="1" applyFont="1" applyFill="1" applyBorder="1" applyAlignment="1">
      <alignment horizontal="center" vertical="center"/>
    </xf>
    <xf numFmtId="164" fontId="17" fillId="3" borderId="7" xfId="0" applyNumberFormat="1" applyFont="1" applyFill="1" applyBorder="1" applyAlignment="1">
      <alignment horizontal="center" vertical="center"/>
    </xf>
    <xf numFmtId="164" fontId="17" fillId="3" borderId="7" xfId="0" quotePrefix="1" applyNumberFormat="1" applyFont="1" applyFill="1" applyBorder="1" applyAlignment="1">
      <alignment horizontal="center" vertical="center"/>
    </xf>
    <xf numFmtId="164" fontId="17" fillId="3" borderId="8" xfId="0" quotePrefix="1" applyNumberFormat="1" applyFont="1" applyFill="1" applyBorder="1" applyAlignment="1">
      <alignment horizontal="center" vertical="center"/>
    </xf>
    <xf numFmtId="164" fontId="17" fillId="3" borderId="20" xfId="0" applyNumberFormat="1" applyFont="1" applyFill="1" applyBorder="1" applyAlignment="1">
      <alignment horizontal="center" vertical="center"/>
    </xf>
    <xf numFmtId="3" fontId="17" fillId="3" borderId="21" xfId="0" quotePrefix="1" applyNumberFormat="1" applyFont="1" applyFill="1" applyBorder="1" applyAlignment="1">
      <alignment horizontal="center" vertical="center"/>
    </xf>
    <xf numFmtId="164" fontId="17" fillId="3" borderId="21" xfId="0" applyNumberFormat="1" applyFont="1" applyFill="1" applyBorder="1" applyAlignment="1">
      <alignment horizontal="center" vertical="center"/>
    </xf>
    <xf numFmtId="164" fontId="17" fillId="3" borderId="21" xfId="0" quotePrefix="1" applyNumberFormat="1" applyFont="1" applyFill="1" applyBorder="1" applyAlignment="1">
      <alignment horizontal="center" vertical="center"/>
    </xf>
    <xf numFmtId="164" fontId="17" fillId="3" borderId="22" xfId="0" quotePrefix="1" applyNumberFormat="1" applyFont="1" applyFill="1" applyBorder="1" applyAlignment="1">
      <alignment horizontal="center" vertical="center"/>
    </xf>
    <xf numFmtId="164" fontId="17" fillId="6" borderId="14" xfId="0" applyNumberFormat="1" applyFont="1" applyFill="1" applyBorder="1" applyAlignment="1">
      <alignment horizontal="center" vertical="center"/>
    </xf>
    <xf numFmtId="3" fontId="17" fillId="6" borderId="1" xfId="0" quotePrefix="1" applyNumberFormat="1" applyFont="1" applyFill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center" vertical="center"/>
    </xf>
    <xf numFmtId="164" fontId="17" fillId="6" borderId="1" xfId="0" quotePrefix="1" applyNumberFormat="1" applyFont="1" applyFill="1" applyBorder="1" applyAlignment="1">
      <alignment horizontal="center" vertical="center"/>
    </xf>
    <xf numFmtId="164" fontId="17" fillId="6" borderId="13" xfId="0" quotePrefix="1" applyNumberFormat="1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/>
    </xf>
    <xf numFmtId="164" fontId="18" fillId="0" borderId="9" xfId="0" applyNumberFormat="1" applyFont="1" applyBorder="1" applyAlignment="1">
      <alignment horizontal="center" vertical="center"/>
    </xf>
    <xf numFmtId="3" fontId="18" fillId="0" borderId="4" xfId="0" quotePrefix="1" applyNumberFormat="1" applyFont="1" applyBorder="1" applyAlignment="1">
      <alignment horizontal="center" vertical="center"/>
    </xf>
    <xf numFmtId="164" fontId="18" fillId="0" borderId="4" xfId="0" applyNumberFormat="1" applyFont="1" applyBorder="1" applyAlignment="1">
      <alignment horizontal="center" vertical="center"/>
    </xf>
    <xf numFmtId="164" fontId="18" fillId="0" borderId="4" xfId="0" quotePrefix="1" applyNumberFormat="1" applyFont="1" applyBorder="1" applyAlignment="1">
      <alignment horizontal="center" vertical="center"/>
    </xf>
    <xf numFmtId="164" fontId="18" fillId="0" borderId="10" xfId="0" quotePrefix="1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/>
    </xf>
    <xf numFmtId="0" fontId="18" fillId="6" borderId="3" xfId="0" applyFont="1" applyFill="1" applyBorder="1" applyAlignment="1">
      <alignment horizontal="left" vertical="center" wrapText="1"/>
    </xf>
    <xf numFmtId="164" fontId="19" fillId="0" borderId="0" xfId="0" applyNumberFormat="1" applyFont="1" applyAlignment="1">
      <alignment horizontal="left"/>
    </xf>
    <xf numFmtId="3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23" fillId="2" borderId="6" xfId="0" applyNumberFormat="1" applyFont="1" applyFill="1" applyBorder="1" applyAlignment="1">
      <alignment horizontal="center" vertical="center" wrapText="1"/>
    </xf>
    <xf numFmtId="3" fontId="23" fillId="2" borderId="7" xfId="0" applyNumberFormat="1" applyFont="1" applyFill="1" applyBorder="1" applyAlignment="1">
      <alignment horizontal="center" vertical="center" wrapText="1"/>
    </xf>
    <xf numFmtId="164" fontId="23" fillId="2" borderId="7" xfId="0" applyNumberFormat="1" applyFont="1" applyFill="1" applyBorder="1" applyAlignment="1">
      <alignment horizontal="center" vertical="center" wrapText="1"/>
    </xf>
    <xf numFmtId="164" fontId="23" fillId="2" borderId="8" xfId="0" applyNumberFormat="1" applyFont="1" applyFill="1" applyBorder="1" applyAlignment="1">
      <alignment horizontal="center" vertical="center" wrapText="1"/>
    </xf>
    <xf numFmtId="164" fontId="17" fillId="0" borderId="11" xfId="0" applyNumberFormat="1" applyFont="1" applyBorder="1" applyAlignment="1">
      <alignment horizontal="center" vertical="center"/>
    </xf>
    <xf numFmtId="3" fontId="17" fillId="0" borderId="3" xfId="0" quotePrefix="1" applyNumberFormat="1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164" fontId="17" fillId="0" borderId="3" xfId="0" quotePrefix="1" applyNumberFormat="1" applyFont="1" applyBorder="1" applyAlignment="1">
      <alignment horizontal="center" vertical="center"/>
    </xf>
    <xf numFmtId="164" fontId="17" fillId="0" borderId="12" xfId="0" quotePrefix="1" applyNumberFormat="1" applyFont="1" applyBorder="1" applyAlignment="1">
      <alignment horizontal="center" vertical="center"/>
    </xf>
    <xf numFmtId="3" fontId="17" fillId="0" borderId="1" xfId="0" quotePrefix="1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164" fontId="17" fillId="6" borderId="8" xfId="0" applyNumberFormat="1" applyFont="1" applyFill="1" applyBorder="1" applyAlignment="1">
      <alignment horizontal="center" vertical="center"/>
    </xf>
    <xf numFmtId="164" fontId="17" fillId="6" borderId="13" xfId="0" applyNumberFormat="1" applyFont="1" applyFill="1" applyBorder="1" applyAlignment="1">
      <alignment horizontal="center" vertical="center"/>
    </xf>
    <xf numFmtId="164" fontId="17" fillId="6" borderId="20" xfId="0" applyNumberFormat="1" applyFont="1" applyFill="1" applyBorder="1" applyAlignment="1">
      <alignment horizontal="center" vertical="center"/>
    </xf>
    <xf numFmtId="3" fontId="17" fillId="6" borderId="21" xfId="0" quotePrefix="1" applyNumberFormat="1" applyFont="1" applyFill="1" applyBorder="1" applyAlignment="1">
      <alignment horizontal="center" vertical="center"/>
    </xf>
    <xf numFmtId="164" fontId="17" fillId="6" borderId="21" xfId="0" applyNumberFormat="1" applyFont="1" applyFill="1" applyBorder="1" applyAlignment="1">
      <alignment horizontal="center" vertical="center"/>
    </xf>
    <xf numFmtId="164" fontId="17" fillId="6" borderId="21" xfId="0" quotePrefix="1" applyNumberFormat="1" applyFont="1" applyFill="1" applyBorder="1" applyAlignment="1">
      <alignment horizontal="center" vertical="center"/>
    </xf>
    <xf numFmtId="164" fontId="17" fillId="6" borderId="22" xfId="0" applyNumberFormat="1" applyFont="1" applyFill="1" applyBorder="1" applyAlignment="1">
      <alignment horizontal="center" vertical="center"/>
    </xf>
    <xf numFmtId="164" fontId="17" fillId="3" borderId="17" xfId="0" applyNumberFormat="1" applyFont="1" applyFill="1" applyBorder="1" applyAlignment="1">
      <alignment horizontal="center" vertical="center"/>
    </xf>
    <xf numFmtId="3" fontId="17" fillId="3" borderId="18" xfId="0" quotePrefix="1" applyNumberFormat="1" applyFont="1" applyFill="1" applyBorder="1" applyAlignment="1">
      <alignment horizontal="center" vertical="center"/>
    </xf>
    <xf numFmtId="164" fontId="17" fillId="3" borderId="18" xfId="0" applyNumberFormat="1" applyFont="1" applyFill="1" applyBorder="1" applyAlignment="1">
      <alignment horizontal="center" vertical="center"/>
    </xf>
    <xf numFmtId="164" fontId="17" fillId="3" borderId="18" xfId="0" quotePrefix="1" applyNumberFormat="1" applyFont="1" applyFill="1" applyBorder="1" applyAlignment="1">
      <alignment horizontal="center" vertical="center"/>
    </xf>
    <xf numFmtId="164" fontId="17" fillId="3" borderId="19" xfId="0" quotePrefix="1" applyNumberFormat="1" applyFont="1" applyFill="1" applyBorder="1" applyAlignment="1">
      <alignment horizontal="center" vertical="center"/>
    </xf>
    <xf numFmtId="164" fontId="23" fillId="0" borderId="0" xfId="0" applyNumberFormat="1" applyFont="1" applyAlignment="1">
      <alignment horizontal="center"/>
    </xf>
    <xf numFmtId="3" fontId="25" fillId="0" borderId="0" xfId="0" applyNumberFormat="1" applyFont="1" applyAlignment="1">
      <alignment horizontal="center"/>
    </xf>
    <xf numFmtId="164" fontId="23" fillId="7" borderId="0" xfId="0" applyNumberFormat="1" applyFont="1" applyFill="1" applyAlignment="1">
      <alignment horizontal="center"/>
    </xf>
    <xf numFmtId="164" fontId="17" fillId="0" borderId="0" xfId="0" applyNumberFormat="1" applyFont="1" applyAlignment="1">
      <alignment horizontal="center"/>
    </xf>
    <xf numFmtId="164" fontId="19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ACF2-68B6-4926-8AF0-C904D6141EF0}">
  <dimension ref="A1:R23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G9" sqref="G9"/>
    </sheetView>
  </sheetViews>
  <sheetFormatPr baseColWidth="10" defaultColWidth="8.83203125" defaultRowHeight="15" x14ac:dyDescent="0.2"/>
  <cols>
    <col min="1" max="1" width="3.5" style="2" customWidth="1"/>
    <col min="2" max="2" width="37" style="5" bestFit="1" customWidth="1"/>
    <col min="3" max="3" width="13.5" style="6" customWidth="1"/>
    <col min="4" max="4" width="9.33203125" style="3" bestFit="1" customWidth="1"/>
    <col min="5" max="5" width="3.6640625" style="4" customWidth="1"/>
    <col min="6" max="6" width="9.83203125" style="3" customWidth="1"/>
    <col min="7" max="7" width="8.6640625" style="3" customWidth="1"/>
    <col min="8" max="8" width="10.83203125" style="3" customWidth="1"/>
    <col min="9" max="9" width="9.33203125" style="3" customWidth="1"/>
    <col min="10" max="10" width="10.33203125" style="3" customWidth="1"/>
    <col min="11" max="11" width="9.33203125" style="3" hidden="1" customWidth="1"/>
    <col min="12" max="12" width="3.6640625" style="4" hidden="1" customWidth="1"/>
    <col min="13" max="13" width="9.83203125" style="3" hidden="1" customWidth="1"/>
    <col min="14" max="14" width="8.6640625" style="3" hidden="1" customWidth="1"/>
    <col min="15" max="15" width="10.83203125" style="3" hidden="1" customWidth="1"/>
    <col min="16" max="16" width="9.33203125" style="3" hidden="1" customWidth="1"/>
    <col min="17" max="17" width="10.33203125" style="3" hidden="1" customWidth="1"/>
    <col min="18" max="18" width="67.83203125" customWidth="1"/>
  </cols>
  <sheetData>
    <row r="1" spans="1:18" ht="16" thickBot="1" x14ac:dyDescent="0.25">
      <c r="B1" s="10" t="s">
        <v>37</v>
      </c>
      <c r="K1" s="36" t="s">
        <v>17</v>
      </c>
    </row>
    <row r="2" spans="1:18" s="1" customFormat="1" ht="41.25" customHeight="1" x14ac:dyDescent="0.2">
      <c r="A2" s="76" t="s">
        <v>0</v>
      </c>
      <c r="B2" s="77" t="s">
        <v>1</v>
      </c>
      <c r="C2" s="78" t="s">
        <v>2</v>
      </c>
      <c r="D2" s="41" t="s">
        <v>3</v>
      </c>
      <c r="E2" s="42" t="s">
        <v>16</v>
      </c>
      <c r="F2" s="43" t="s">
        <v>4</v>
      </c>
      <c r="G2" s="43" t="s">
        <v>5</v>
      </c>
      <c r="H2" s="43" t="s">
        <v>13</v>
      </c>
      <c r="I2" s="43" t="s">
        <v>6</v>
      </c>
      <c r="J2" s="44" t="s">
        <v>7</v>
      </c>
      <c r="K2" s="37" t="s">
        <v>3</v>
      </c>
      <c r="L2" s="38" t="s">
        <v>16</v>
      </c>
      <c r="M2" s="39" t="s">
        <v>4</v>
      </c>
      <c r="N2" s="39" t="s">
        <v>5</v>
      </c>
      <c r="O2" s="39" t="s">
        <v>13</v>
      </c>
      <c r="P2" s="39" t="s">
        <v>6</v>
      </c>
      <c r="Q2" s="40" t="s">
        <v>7</v>
      </c>
    </row>
    <row r="3" spans="1:18" s="12" customFormat="1" ht="42.75" customHeight="1" thickBot="1" x14ac:dyDescent="0.25">
      <c r="A3" s="79">
        <v>1</v>
      </c>
      <c r="B3" s="20" t="s">
        <v>8</v>
      </c>
      <c r="C3" s="80" t="s">
        <v>18</v>
      </c>
      <c r="D3" s="29">
        <v>27760</v>
      </c>
      <c r="E3" s="22">
        <v>6</v>
      </c>
      <c r="F3" s="21">
        <f t="shared" ref="F3:F8" si="0">D3*E3</f>
        <v>166560</v>
      </c>
      <c r="G3" s="23">
        <f>D3</f>
        <v>27760</v>
      </c>
      <c r="H3" s="23">
        <f>G3*E3</f>
        <v>166560</v>
      </c>
      <c r="I3" s="23">
        <f t="shared" ref="I3:I14" si="1">G3-D3</f>
        <v>0</v>
      </c>
      <c r="J3" s="30">
        <f t="shared" ref="J3:J14" si="2">I3*E3</f>
        <v>0</v>
      </c>
      <c r="K3" s="45">
        <v>22740</v>
      </c>
      <c r="L3" s="46">
        <v>6</v>
      </c>
      <c r="M3" s="47">
        <f t="shared" ref="M3" si="3">K3*L3</f>
        <v>136440</v>
      </c>
      <c r="N3" s="48">
        <f>K3</f>
        <v>22740</v>
      </c>
      <c r="O3" s="48">
        <f>N3*L3</f>
        <v>136440</v>
      </c>
      <c r="P3" s="48">
        <f t="shared" ref="P3:P10" si="4">N3-K3</f>
        <v>0</v>
      </c>
      <c r="Q3" s="49">
        <f t="shared" ref="Q3:Q10" si="5">P3*L3</f>
        <v>0</v>
      </c>
      <c r="R3" s="11"/>
    </row>
    <row r="4" spans="1:18" s="15" customFormat="1" x14ac:dyDescent="0.2">
      <c r="A4" s="81">
        <v>2</v>
      </c>
      <c r="B4" s="24" t="s">
        <v>9</v>
      </c>
      <c r="C4" s="82" t="s">
        <v>15</v>
      </c>
      <c r="D4" s="31">
        <f>F4/E4</f>
        <v>670.66666666666663</v>
      </c>
      <c r="E4" s="26">
        <v>6</v>
      </c>
      <c r="F4" s="25">
        <f>503*8</f>
        <v>4024</v>
      </c>
      <c r="G4" s="27">
        <f>D4</f>
        <v>670.66666666666663</v>
      </c>
      <c r="H4" s="27">
        <f t="shared" ref="H4:H14" si="6">G4*E4</f>
        <v>4024</v>
      </c>
      <c r="I4" s="27">
        <f t="shared" si="1"/>
        <v>0</v>
      </c>
      <c r="J4" s="32">
        <f t="shared" si="2"/>
        <v>0</v>
      </c>
      <c r="K4" s="50">
        <f>M4/L4</f>
        <v>332</v>
      </c>
      <c r="L4" s="51">
        <v>6</v>
      </c>
      <c r="M4" s="52">
        <f>249*8</f>
        <v>1992</v>
      </c>
      <c r="N4" s="53">
        <f>K4</f>
        <v>332</v>
      </c>
      <c r="O4" s="53">
        <f t="shared" ref="O4" si="7">N4*L4</f>
        <v>1992</v>
      </c>
      <c r="P4" s="53">
        <f t="shared" si="4"/>
        <v>0</v>
      </c>
      <c r="Q4" s="54">
        <f t="shared" si="5"/>
        <v>0</v>
      </c>
      <c r="R4" s="28"/>
    </row>
    <row r="5" spans="1:18" s="15" customFormat="1" x14ac:dyDescent="0.2">
      <c r="A5" s="81">
        <v>3</v>
      </c>
      <c r="B5" s="24" t="s">
        <v>19</v>
      </c>
      <c r="C5" s="82" t="s">
        <v>20</v>
      </c>
      <c r="D5" s="31">
        <f>F5/E5</f>
        <v>4493.333333333333</v>
      </c>
      <c r="E5" s="26">
        <v>6</v>
      </c>
      <c r="F5" s="25">
        <f>(2300+810+260)*8</f>
        <v>26960</v>
      </c>
      <c r="G5" s="27">
        <f>D5</f>
        <v>4493.333333333333</v>
      </c>
      <c r="H5" s="27">
        <f t="shared" si="6"/>
        <v>26960</v>
      </c>
      <c r="I5" s="27">
        <f t="shared" si="1"/>
        <v>0</v>
      </c>
      <c r="J5" s="32">
        <f t="shared" si="2"/>
        <v>0</v>
      </c>
      <c r="K5" s="50"/>
      <c r="L5" s="51"/>
      <c r="M5" s="52"/>
      <c r="N5" s="53"/>
      <c r="O5" s="53"/>
      <c r="P5" s="53"/>
      <c r="Q5" s="54"/>
      <c r="R5" s="28"/>
    </row>
    <row r="6" spans="1:18" s="15" customFormat="1" x14ac:dyDescent="0.2">
      <c r="A6" s="81">
        <v>4</v>
      </c>
      <c r="B6" s="24" t="s">
        <v>10</v>
      </c>
      <c r="C6" s="83" t="s">
        <v>14</v>
      </c>
      <c r="D6" s="31">
        <v>5000</v>
      </c>
      <c r="E6" s="26">
        <v>6</v>
      </c>
      <c r="F6" s="25">
        <f t="shared" si="0"/>
        <v>30000</v>
      </c>
      <c r="G6" s="27">
        <f>10000-1205</f>
        <v>8795</v>
      </c>
      <c r="H6" s="27">
        <f>G6*E6</f>
        <v>52770</v>
      </c>
      <c r="I6" s="27">
        <f t="shared" si="1"/>
        <v>3795</v>
      </c>
      <c r="J6" s="33">
        <f t="shared" si="2"/>
        <v>22770</v>
      </c>
      <c r="K6" s="50">
        <v>1000</v>
      </c>
      <c r="L6" s="51">
        <v>6</v>
      </c>
      <c r="M6" s="52">
        <f t="shared" ref="M6:M8" si="8">K6*L6</f>
        <v>6000</v>
      </c>
      <c r="N6" s="53">
        <v>1500</v>
      </c>
      <c r="O6" s="53">
        <f>N6*L6</f>
        <v>9000</v>
      </c>
      <c r="P6" s="53">
        <f t="shared" si="4"/>
        <v>500</v>
      </c>
      <c r="Q6" s="55">
        <f t="shared" si="5"/>
        <v>3000</v>
      </c>
      <c r="R6" s="15" t="s">
        <v>29</v>
      </c>
    </row>
    <row r="7" spans="1:18" s="15" customFormat="1" x14ac:dyDescent="0.2">
      <c r="A7" s="81">
        <v>5</v>
      </c>
      <c r="B7" s="24" t="s">
        <v>36</v>
      </c>
      <c r="C7" s="83" t="s">
        <v>14</v>
      </c>
      <c r="D7" s="31">
        <f>F7/E7</f>
        <v>5000</v>
      </c>
      <c r="E7" s="26">
        <v>6</v>
      </c>
      <c r="F7" s="25">
        <v>30000</v>
      </c>
      <c r="G7" s="27">
        <f>D7</f>
        <v>5000</v>
      </c>
      <c r="H7" s="27">
        <f>G7*E7</f>
        <v>30000</v>
      </c>
      <c r="I7" s="27">
        <f t="shared" si="1"/>
        <v>0</v>
      </c>
      <c r="J7" s="33">
        <f t="shared" si="2"/>
        <v>0</v>
      </c>
      <c r="K7" s="50"/>
      <c r="L7" s="51"/>
      <c r="M7" s="52"/>
      <c r="N7" s="53"/>
      <c r="O7" s="53"/>
      <c r="P7" s="53"/>
      <c r="Q7" s="55"/>
    </row>
    <row r="8" spans="1:18" s="15" customFormat="1" x14ac:dyDescent="0.2">
      <c r="A8" s="84">
        <v>6</v>
      </c>
      <c r="B8" s="16" t="s">
        <v>11</v>
      </c>
      <c r="C8" s="75" t="s">
        <v>14</v>
      </c>
      <c r="D8" s="34">
        <v>0</v>
      </c>
      <c r="E8" s="19">
        <v>6</v>
      </c>
      <c r="F8" s="18">
        <f t="shared" si="0"/>
        <v>0</v>
      </c>
      <c r="G8" s="17">
        <f>10000+5000-80</f>
        <v>14920</v>
      </c>
      <c r="H8" s="17">
        <f t="shared" si="6"/>
        <v>89520</v>
      </c>
      <c r="I8" s="17">
        <f t="shared" si="1"/>
        <v>14920</v>
      </c>
      <c r="J8" s="33">
        <f t="shared" si="2"/>
        <v>89520</v>
      </c>
      <c r="K8" s="56">
        <v>0</v>
      </c>
      <c r="L8" s="57">
        <v>6</v>
      </c>
      <c r="M8" s="58">
        <f t="shared" si="8"/>
        <v>0</v>
      </c>
      <c r="N8" s="59">
        <f>8163+752-1334</f>
        <v>7581</v>
      </c>
      <c r="O8" s="59">
        <f t="shared" ref="O8:O10" si="9">N8*L8</f>
        <v>45486</v>
      </c>
      <c r="P8" s="59">
        <f t="shared" si="4"/>
        <v>7581</v>
      </c>
      <c r="Q8" s="55">
        <f t="shared" si="5"/>
        <v>45486</v>
      </c>
    </row>
    <row r="9" spans="1:18" s="15" customFormat="1" ht="30" x14ac:dyDescent="0.2">
      <c r="A9" s="84">
        <v>7</v>
      </c>
      <c r="B9" s="16" t="s">
        <v>12</v>
      </c>
      <c r="C9" s="85" t="s">
        <v>18</v>
      </c>
      <c r="D9" s="34">
        <f t="shared" ref="D9:D14" si="10">F9/E9</f>
        <v>11666.666666666666</v>
      </c>
      <c r="E9" s="19">
        <v>6</v>
      </c>
      <c r="F9" s="18">
        <f>(35000*2)</f>
        <v>70000</v>
      </c>
      <c r="G9" s="17">
        <f t="shared" ref="G9:G14" si="11">D9</f>
        <v>11666.666666666666</v>
      </c>
      <c r="H9" s="17">
        <f t="shared" si="6"/>
        <v>70000</v>
      </c>
      <c r="I9" s="17">
        <f t="shared" si="1"/>
        <v>0</v>
      </c>
      <c r="J9" s="33">
        <f t="shared" si="2"/>
        <v>0</v>
      </c>
      <c r="K9" s="60">
        <f>M9/L9</f>
        <v>6913.333333333333</v>
      </c>
      <c r="L9" s="61">
        <v>6</v>
      </c>
      <c r="M9" s="62">
        <f>(20740*2)</f>
        <v>41480</v>
      </c>
      <c r="N9" s="63">
        <v>7000</v>
      </c>
      <c r="O9" s="63">
        <f t="shared" si="9"/>
        <v>42000</v>
      </c>
      <c r="P9" s="63">
        <f t="shared" si="4"/>
        <v>86.66666666666697</v>
      </c>
      <c r="Q9" s="64">
        <f t="shared" si="5"/>
        <v>520.00000000000182</v>
      </c>
    </row>
    <row r="10" spans="1:18" s="15" customFormat="1" x14ac:dyDescent="0.2">
      <c r="A10" s="84">
        <v>8</v>
      </c>
      <c r="B10" s="16" t="s">
        <v>21</v>
      </c>
      <c r="C10" s="75" t="s">
        <v>33</v>
      </c>
      <c r="D10" s="34">
        <f t="shared" si="10"/>
        <v>4666.666666666667</v>
      </c>
      <c r="E10" s="19">
        <v>6</v>
      </c>
      <c r="F10" s="18">
        <f>2000*14</f>
        <v>28000</v>
      </c>
      <c r="G10" s="17">
        <f t="shared" si="11"/>
        <v>4666.666666666667</v>
      </c>
      <c r="H10" s="17">
        <f t="shared" si="6"/>
        <v>28000</v>
      </c>
      <c r="I10" s="17">
        <f t="shared" si="1"/>
        <v>0</v>
      </c>
      <c r="J10" s="33">
        <f t="shared" si="2"/>
        <v>0</v>
      </c>
      <c r="K10" s="56">
        <f>M10/L10</f>
        <v>2666.6666666666665</v>
      </c>
      <c r="L10" s="57">
        <v>6</v>
      </c>
      <c r="M10" s="58">
        <v>16000</v>
      </c>
      <c r="N10" s="59">
        <f>K10</f>
        <v>2666.6666666666665</v>
      </c>
      <c r="O10" s="59">
        <f t="shared" si="9"/>
        <v>16000</v>
      </c>
      <c r="P10" s="59">
        <f t="shared" si="4"/>
        <v>0</v>
      </c>
      <c r="Q10" s="55">
        <f t="shared" si="5"/>
        <v>0</v>
      </c>
    </row>
    <row r="11" spans="1:18" s="15" customFormat="1" x14ac:dyDescent="0.2">
      <c r="A11" s="90">
        <v>9</v>
      </c>
      <c r="B11" s="92" t="s">
        <v>28</v>
      </c>
      <c r="C11" s="91" t="s">
        <v>33</v>
      </c>
      <c r="D11" s="34">
        <f t="shared" si="10"/>
        <v>2000</v>
      </c>
      <c r="E11" s="14">
        <v>6</v>
      </c>
      <c r="F11" s="13">
        <f>1500*8</f>
        <v>12000</v>
      </c>
      <c r="G11" s="17">
        <f t="shared" si="11"/>
        <v>2000</v>
      </c>
      <c r="H11" s="17">
        <f t="shared" si="6"/>
        <v>12000</v>
      </c>
      <c r="I11" s="17">
        <f t="shared" si="1"/>
        <v>0</v>
      </c>
      <c r="J11" s="33">
        <f t="shared" si="2"/>
        <v>0</v>
      </c>
      <c r="K11" s="65"/>
      <c r="L11" s="66"/>
      <c r="M11" s="67"/>
      <c r="N11" s="68"/>
      <c r="O11" s="68"/>
      <c r="P11" s="68"/>
      <c r="Q11" s="69"/>
    </row>
    <row r="12" spans="1:18" s="15" customFormat="1" x14ac:dyDescent="0.2">
      <c r="A12" s="90">
        <v>10</v>
      </c>
      <c r="B12" s="92" t="s">
        <v>32</v>
      </c>
      <c r="C12" s="91" t="s">
        <v>33</v>
      </c>
      <c r="D12" s="93">
        <f t="shared" si="10"/>
        <v>400</v>
      </c>
      <c r="E12" s="14">
        <v>6</v>
      </c>
      <c r="F12" s="13">
        <f>300*8</f>
        <v>2400</v>
      </c>
      <c r="G12" s="94">
        <f t="shared" si="11"/>
        <v>400</v>
      </c>
      <c r="H12" s="17">
        <f t="shared" si="6"/>
        <v>2400</v>
      </c>
      <c r="I12" s="17">
        <f t="shared" si="1"/>
        <v>0</v>
      </c>
      <c r="J12" s="33">
        <f t="shared" si="2"/>
        <v>0</v>
      </c>
      <c r="K12" s="65"/>
      <c r="L12" s="66"/>
      <c r="M12" s="67"/>
      <c r="N12" s="68"/>
      <c r="O12" s="68"/>
      <c r="P12" s="68"/>
      <c r="Q12" s="69"/>
    </row>
    <row r="13" spans="1:18" s="15" customFormat="1" x14ac:dyDescent="0.2">
      <c r="A13" s="90">
        <v>11</v>
      </c>
      <c r="B13" s="92" t="s">
        <v>35</v>
      </c>
      <c r="C13" s="96" t="s">
        <v>33</v>
      </c>
      <c r="D13" s="93">
        <f t="shared" si="10"/>
        <v>1800</v>
      </c>
      <c r="E13" s="14">
        <v>6</v>
      </c>
      <c r="F13" s="13">
        <f>1350*8</f>
        <v>10800</v>
      </c>
      <c r="G13" s="94">
        <f t="shared" si="11"/>
        <v>1800</v>
      </c>
      <c r="H13" s="94">
        <f t="shared" si="6"/>
        <v>10800</v>
      </c>
      <c r="I13" s="94">
        <f t="shared" si="1"/>
        <v>0</v>
      </c>
      <c r="J13" s="95">
        <f t="shared" si="2"/>
        <v>0</v>
      </c>
      <c r="K13" s="65"/>
      <c r="L13" s="66"/>
      <c r="M13" s="67"/>
      <c r="N13" s="68"/>
      <c r="O13" s="68"/>
      <c r="P13" s="68"/>
      <c r="Q13" s="69"/>
    </row>
    <row r="14" spans="1:18" s="15" customFormat="1" ht="16" thickBot="1" x14ac:dyDescent="0.25">
      <c r="A14" s="86">
        <v>12</v>
      </c>
      <c r="B14" s="87" t="s">
        <v>22</v>
      </c>
      <c r="C14" s="88" t="s">
        <v>34</v>
      </c>
      <c r="D14" s="70">
        <f t="shared" si="10"/>
        <v>80587.5</v>
      </c>
      <c r="E14" s="71">
        <v>6</v>
      </c>
      <c r="F14" s="72">
        <f>13815*C17</f>
        <v>483525</v>
      </c>
      <c r="G14" s="73">
        <f t="shared" si="11"/>
        <v>80587.5</v>
      </c>
      <c r="H14" s="73">
        <f t="shared" si="6"/>
        <v>483525</v>
      </c>
      <c r="I14" s="73">
        <f t="shared" si="1"/>
        <v>0</v>
      </c>
      <c r="J14" s="74">
        <f t="shared" si="2"/>
        <v>0</v>
      </c>
      <c r="K14" s="70">
        <f>M14/L14</f>
        <v>3885.3333333333335</v>
      </c>
      <c r="L14" s="71">
        <v>6</v>
      </c>
      <c r="M14" s="72">
        <f>((72000+2200+1000)/100)*31</f>
        <v>23312</v>
      </c>
      <c r="N14" s="73">
        <v>3900</v>
      </c>
      <c r="O14" s="73">
        <f t="shared" ref="O14" si="12">N14*L14</f>
        <v>23400</v>
      </c>
      <c r="P14" s="73">
        <f t="shared" ref="P14" si="13">N14-K14</f>
        <v>14.666666666666515</v>
      </c>
      <c r="Q14" s="74">
        <f t="shared" ref="Q14" si="14">P14*L14</f>
        <v>87.999999999999091</v>
      </c>
    </row>
    <row r="15" spans="1:18" x14ac:dyDescent="0.2">
      <c r="D15" s="8">
        <f>SUM(D4:D14)</f>
        <v>116284.83333333333</v>
      </c>
      <c r="E15" s="7"/>
      <c r="F15" s="8">
        <f t="shared" ref="F15:K15" si="15">SUM(F4:F14)</f>
        <v>697709</v>
      </c>
      <c r="G15" s="8">
        <f t="shared" si="15"/>
        <v>134999.83333333331</v>
      </c>
      <c r="H15" s="8">
        <f t="shared" si="15"/>
        <v>809999</v>
      </c>
      <c r="I15" s="8">
        <f t="shared" si="15"/>
        <v>18715</v>
      </c>
      <c r="J15" s="8">
        <f t="shared" si="15"/>
        <v>112290</v>
      </c>
      <c r="K15" s="8">
        <f t="shared" si="15"/>
        <v>14797.333333333332</v>
      </c>
      <c r="L15" s="7"/>
      <c r="M15" s="8">
        <f>SUM(M4:M14)</f>
        <v>88784</v>
      </c>
      <c r="N15" s="8">
        <f>SUM(N4:N14)</f>
        <v>22979.666666666668</v>
      </c>
      <c r="O15" s="8">
        <f>SUM(O4:O14)</f>
        <v>137878</v>
      </c>
      <c r="P15" s="8">
        <f>SUM(P4:P14)</f>
        <v>8182.3333333333339</v>
      </c>
      <c r="Q15" s="8">
        <f>SUM(Q4:Q14)</f>
        <v>49094</v>
      </c>
    </row>
    <row r="16" spans="1:18" x14ac:dyDescent="0.2">
      <c r="G16" s="9">
        <v>135000</v>
      </c>
      <c r="H16" s="9"/>
      <c r="N16" s="9">
        <v>39900</v>
      </c>
      <c r="O16" s="9">
        <v>239400</v>
      </c>
    </row>
    <row r="17" spans="1:18" s="3" customFormat="1" x14ac:dyDescent="0.2">
      <c r="A17" s="2"/>
      <c r="B17" s="5" t="s">
        <v>23</v>
      </c>
      <c r="C17" s="6">
        <v>35</v>
      </c>
      <c r="D17" s="3" t="s">
        <v>24</v>
      </c>
      <c r="E17" s="4"/>
      <c r="G17" s="8"/>
      <c r="L17" s="4"/>
      <c r="N17" s="8"/>
      <c r="R17"/>
    </row>
    <row r="18" spans="1:18" s="3" customFormat="1" x14ac:dyDescent="0.2">
      <c r="A18" s="2"/>
      <c r="B18" s="5"/>
      <c r="C18" s="6"/>
      <c r="E18" s="4"/>
      <c r="G18" s="8"/>
      <c r="L18" s="4"/>
      <c r="N18" s="8"/>
      <c r="R18"/>
    </row>
    <row r="19" spans="1:18" x14ac:dyDescent="0.2">
      <c r="D19" s="89" t="s">
        <v>25</v>
      </c>
    </row>
    <row r="20" spans="1:18" x14ac:dyDescent="0.2">
      <c r="D20" s="89" t="s">
        <v>26</v>
      </c>
    </row>
    <row r="21" spans="1:18" x14ac:dyDescent="0.2">
      <c r="B21" s="35"/>
      <c r="D21" s="89" t="s">
        <v>27</v>
      </c>
    </row>
    <row r="22" spans="1:18" x14ac:dyDescent="0.2">
      <c r="D22" s="89" t="s">
        <v>30</v>
      </c>
    </row>
    <row r="23" spans="1:18" x14ac:dyDescent="0.2">
      <c r="D23" s="89" t="s">
        <v>31</v>
      </c>
    </row>
  </sheetData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BE19-4BE8-4FF6-AC1C-2DAEE018CE2E}">
  <dimension ref="A1:AE47"/>
  <sheetViews>
    <sheetView tabSelected="1" zoomScale="120" zoomScaleNormal="12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C11" sqref="C11"/>
    </sheetView>
  </sheetViews>
  <sheetFormatPr baseColWidth="10" defaultColWidth="8.83203125" defaultRowHeight="15" x14ac:dyDescent="0.2"/>
  <cols>
    <col min="1" max="1" width="4.5" style="2" bestFit="1" customWidth="1"/>
    <col min="2" max="2" width="55" style="5" customWidth="1"/>
    <col min="3" max="3" width="23.83203125" style="6" customWidth="1"/>
    <col min="4" max="4" width="9.33203125" style="3" bestFit="1" customWidth="1"/>
    <col min="5" max="5" width="3.6640625" style="4" customWidth="1"/>
    <col min="6" max="6" width="9.83203125" style="3" customWidth="1"/>
    <col min="7" max="7" width="8.6640625" style="3" customWidth="1"/>
    <col min="8" max="8" width="10.83203125" style="3" customWidth="1"/>
    <col min="9" max="9" width="9.33203125" style="3" customWidth="1"/>
    <col min="10" max="10" width="10.33203125" style="3" customWidth="1"/>
    <col min="11" max="11" width="9.33203125" style="3" bestFit="1" customWidth="1"/>
    <col min="12" max="12" width="3.6640625" style="4" customWidth="1"/>
    <col min="13" max="13" width="9.83203125" style="3" customWidth="1"/>
    <col min="14" max="14" width="10.33203125" style="3" bestFit="1" customWidth="1"/>
    <col min="15" max="15" width="10.83203125" style="3" customWidth="1"/>
    <col min="16" max="16" width="9.33203125" style="3" customWidth="1"/>
    <col min="17" max="17" width="10.33203125" style="3" customWidth="1"/>
    <col min="18" max="18" width="9.33203125" style="3" bestFit="1" customWidth="1"/>
    <col min="19" max="19" width="3.6640625" style="4" customWidth="1"/>
    <col min="20" max="20" width="9.83203125" style="3" customWidth="1"/>
    <col min="21" max="21" width="10.33203125" style="3" bestFit="1" customWidth="1"/>
    <col min="22" max="22" width="10.83203125" style="3" customWidth="1"/>
    <col min="23" max="23" width="9.33203125" style="3" customWidth="1"/>
    <col min="24" max="24" width="10.33203125" style="3" customWidth="1"/>
    <col min="25" max="25" width="9.33203125" style="276" bestFit="1" customWidth="1"/>
    <col min="26" max="26" width="3.6640625" style="275" customWidth="1"/>
    <col min="27" max="27" width="9.83203125" style="276" customWidth="1"/>
    <col min="28" max="28" width="10.33203125" style="276" bestFit="1" customWidth="1"/>
    <col min="29" max="29" width="10.83203125" style="276" customWidth="1"/>
    <col min="30" max="30" width="9.33203125" style="276" customWidth="1"/>
    <col min="31" max="31" width="10.33203125" style="276" customWidth="1"/>
  </cols>
  <sheetData>
    <row r="1" spans="1:31" ht="16" thickBot="1" x14ac:dyDescent="0.25">
      <c r="B1" s="10" t="s">
        <v>66</v>
      </c>
      <c r="D1" s="228" t="s">
        <v>67</v>
      </c>
      <c r="K1" s="272" t="s">
        <v>105</v>
      </c>
      <c r="R1" s="272" t="s">
        <v>113</v>
      </c>
      <c r="Y1" s="274" t="s">
        <v>106</v>
      </c>
    </row>
    <row r="2" spans="1:31" s="1" customFormat="1" ht="41.25" customHeight="1" thickBot="1" x14ac:dyDescent="0.25">
      <c r="A2" s="76" t="s">
        <v>0</v>
      </c>
      <c r="B2" s="77" t="s">
        <v>1</v>
      </c>
      <c r="C2" s="78" t="s">
        <v>2</v>
      </c>
      <c r="D2" s="222" t="s">
        <v>3</v>
      </c>
      <c r="E2" s="223" t="s">
        <v>61</v>
      </c>
      <c r="F2" s="224" t="s">
        <v>4</v>
      </c>
      <c r="G2" s="224" t="s">
        <v>5</v>
      </c>
      <c r="H2" s="224" t="s">
        <v>13</v>
      </c>
      <c r="I2" s="224" t="s">
        <v>6</v>
      </c>
      <c r="J2" s="225" t="s">
        <v>7</v>
      </c>
      <c r="K2" s="41" t="s">
        <v>3</v>
      </c>
      <c r="L2" s="42" t="s">
        <v>50</v>
      </c>
      <c r="M2" s="43" t="s">
        <v>4</v>
      </c>
      <c r="N2" s="43" t="s">
        <v>5</v>
      </c>
      <c r="O2" s="43" t="s">
        <v>13</v>
      </c>
      <c r="P2" s="43" t="s">
        <v>6</v>
      </c>
      <c r="Q2" s="44" t="s">
        <v>7</v>
      </c>
      <c r="R2" s="222" t="s">
        <v>3</v>
      </c>
      <c r="S2" s="223" t="s">
        <v>49</v>
      </c>
      <c r="T2" s="224" t="s">
        <v>4</v>
      </c>
      <c r="U2" s="224" t="s">
        <v>5</v>
      </c>
      <c r="V2" s="224" t="s">
        <v>13</v>
      </c>
      <c r="W2" s="224" t="s">
        <v>6</v>
      </c>
      <c r="X2" s="225" t="s">
        <v>7</v>
      </c>
      <c r="Y2" s="277" t="s">
        <v>107</v>
      </c>
      <c r="Z2" s="278" t="s">
        <v>60</v>
      </c>
      <c r="AA2" s="279" t="s">
        <v>108</v>
      </c>
      <c r="AB2" s="279" t="s">
        <v>109</v>
      </c>
      <c r="AC2" s="279" t="s">
        <v>110</v>
      </c>
      <c r="AD2" s="279" t="s">
        <v>111</v>
      </c>
      <c r="AE2" s="280" t="s">
        <v>112</v>
      </c>
    </row>
    <row r="3" spans="1:31" s="97" customFormat="1" x14ac:dyDescent="0.2">
      <c r="A3" s="139">
        <v>1</v>
      </c>
      <c r="B3" s="110" t="s">
        <v>9</v>
      </c>
      <c r="C3" s="131" t="s">
        <v>69</v>
      </c>
      <c r="D3" s="111">
        <f>F3/E3</f>
        <v>809.2</v>
      </c>
      <c r="E3" s="112">
        <v>5</v>
      </c>
      <c r="F3" s="113">
        <f>(680-(680*15%))*7</f>
        <v>4046</v>
      </c>
      <c r="G3" s="114">
        <f>D3</f>
        <v>809.2</v>
      </c>
      <c r="H3" s="114">
        <f t="shared" ref="H3" si="0">G3*E3</f>
        <v>4046</v>
      </c>
      <c r="I3" s="114">
        <f t="shared" ref="I3:I6" si="1">G3-D3</f>
        <v>0</v>
      </c>
      <c r="J3" s="132">
        <f t="shared" ref="J3:J9" si="2">I3*E3</f>
        <v>0</v>
      </c>
      <c r="K3" s="111">
        <f>M3/L3</f>
        <v>794.75</v>
      </c>
      <c r="L3" s="112">
        <v>8</v>
      </c>
      <c r="M3" s="113">
        <f>(680-(680*15%))*11</f>
        <v>6358</v>
      </c>
      <c r="N3" s="114">
        <f>K3</f>
        <v>794.75</v>
      </c>
      <c r="O3" s="114">
        <f t="shared" ref="O3" si="3">N3*L3</f>
        <v>6358</v>
      </c>
      <c r="P3" s="114">
        <f t="shared" ref="P3:P6" si="4">N3-K3</f>
        <v>0</v>
      </c>
      <c r="Q3" s="132">
        <f t="shared" ref="Q3:Q10" si="5">P3*L3</f>
        <v>0</v>
      </c>
      <c r="R3" s="111">
        <f>T3/S3</f>
        <v>751.4</v>
      </c>
      <c r="S3" s="112">
        <v>10</v>
      </c>
      <c r="T3" s="113">
        <f>(680-(680*15%))*13</f>
        <v>7514</v>
      </c>
      <c r="U3" s="114">
        <f>R3</f>
        <v>751.4</v>
      </c>
      <c r="V3" s="114">
        <f t="shared" ref="V3" si="6">U3*S3</f>
        <v>7514</v>
      </c>
      <c r="W3" s="114">
        <f t="shared" ref="W3:W6" si="7">U3-R3</f>
        <v>0</v>
      </c>
      <c r="X3" s="132">
        <f t="shared" ref="X3:X10" si="8">W3*S3</f>
        <v>0</v>
      </c>
      <c r="Y3" s="281">
        <f>AA3/Z3</f>
        <v>946.33333333333337</v>
      </c>
      <c r="Z3" s="282">
        <v>12</v>
      </c>
      <c r="AA3" s="283">
        <f>(835-(835*15%))*16</f>
        <v>11356</v>
      </c>
      <c r="AB3" s="284">
        <f>Y3</f>
        <v>946.33333333333337</v>
      </c>
      <c r="AC3" s="284">
        <f t="shared" ref="AC3:AC4" si="9">AB3*Z3</f>
        <v>11356</v>
      </c>
      <c r="AD3" s="284">
        <f t="shared" ref="AD3:AD6" si="10">AB3-Y3</f>
        <v>0</v>
      </c>
      <c r="AE3" s="285">
        <f t="shared" ref="AE3:AE9" si="11">AD3*Z3</f>
        <v>0</v>
      </c>
    </row>
    <row r="4" spans="1:31" s="108" customFormat="1" x14ac:dyDescent="0.2">
      <c r="A4" s="109">
        <v>2</v>
      </c>
      <c r="B4" s="110" t="s">
        <v>70</v>
      </c>
      <c r="C4" s="131"/>
      <c r="D4" s="111">
        <f>F4/E4</f>
        <v>4580</v>
      </c>
      <c r="E4" s="112">
        <v>5</v>
      </c>
      <c r="F4" s="113">
        <f>(6200*2)+(1500*7)</f>
        <v>22900</v>
      </c>
      <c r="G4" s="114">
        <f>H4/E4</f>
        <v>5038</v>
      </c>
      <c r="H4" s="114">
        <f>F4+(F4*10%)</f>
        <v>25190</v>
      </c>
      <c r="I4" s="114">
        <f t="shared" si="1"/>
        <v>458</v>
      </c>
      <c r="J4" s="132">
        <f t="shared" si="2"/>
        <v>2290</v>
      </c>
      <c r="K4" s="111">
        <f>M4/L4</f>
        <v>4387.5</v>
      </c>
      <c r="L4" s="112">
        <v>8</v>
      </c>
      <c r="M4" s="113">
        <f>(6200*3)+(1500*11)</f>
        <v>35100</v>
      </c>
      <c r="N4" s="114">
        <f>O4/L4</f>
        <v>4826.25</v>
      </c>
      <c r="O4" s="114">
        <f>M4+(M4*10%)</f>
        <v>38610</v>
      </c>
      <c r="P4" s="114">
        <f t="shared" si="4"/>
        <v>438.75</v>
      </c>
      <c r="Q4" s="132">
        <f t="shared" si="5"/>
        <v>3510</v>
      </c>
      <c r="R4" s="111">
        <f>T4/S4</f>
        <v>3810</v>
      </c>
      <c r="S4" s="112">
        <v>10</v>
      </c>
      <c r="T4" s="113">
        <f>(6200*3)+(1500*13)</f>
        <v>38100</v>
      </c>
      <c r="U4" s="114">
        <f>V4/S4</f>
        <v>4191</v>
      </c>
      <c r="V4" s="114">
        <f>T4+(T4*10%)</f>
        <v>41910</v>
      </c>
      <c r="W4" s="114">
        <f t="shared" si="7"/>
        <v>381</v>
      </c>
      <c r="X4" s="132">
        <f t="shared" si="8"/>
        <v>3810</v>
      </c>
      <c r="Y4" s="281">
        <f>AA4/Z4</f>
        <v>2980</v>
      </c>
      <c r="Z4" s="282">
        <v>12</v>
      </c>
      <c r="AA4" s="283">
        <f>((190*C42)+735+1500)*16</f>
        <v>35760</v>
      </c>
      <c r="AB4" s="284">
        <f>Y4</f>
        <v>2980</v>
      </c>
      <c r="AC4" s="284">
        <f t="shared" si="9"/>
        <v>35760</v>
      </c>
      <c r="AD4" s="284">
        <f t="shared" si="10"/>
        <v>0</v>
      </c>
      <c r="AE4" s="285">
        <f t="shared" si="11"/>
        <v>0</v>
      </c>
    </row>
    <row r="5" spans="1:31" s="108" customFormat="1" x14ac:dyDescent="0.2">
      <c r="A5" s="109">
        <v>3</v>
      </c>
      <c r="B5" s="110" t="s">
        <v>10</v>
      </c>
      <c r="C5" s="120" t="s">
        <v>14</v>
      </c>
      <c r="D5" s="111">
        <f>F5/E5</f>
        <v>3500</v>
      </c>
      <c r="E5" s="112">
        <v>5</v>
      </c>
      <c r="F5" s="113">
        <f>(500*5)+15000</f>
        <v>17500</v>
      </c>
      <c r="G5" s="114">
        <f>D5</f>
        <v>3500</v>
      </c>
      <c r="H5" s="114">
        <f>G5*E5</f>
        <v>17500</v>
      </c>
      <c r="I5" s="114">
        <f t="shared" si="1"/>
        <v>0</v>
      </c>
      <c r="J5" s="107">
        <f t="shared" si="2"/>
        <v>0</v>
      </c>
      <c r="K5" s="111">
        <f>M5/L5</f>
        <v>2750</v>
      </c>
      <c r="L5" s="112">
        <v>8</v>
      </c>
      <c r="M5" s="113">
        <f>(500*8)+18000</f>
        <v>22000</v>
      </c>
      <c r="N5" s="114">
        <f>K5</f>
        <v>2750</v>
      </c>
      <c r="O5" s="114">
        <f>N5*L5</f>
        <v>22000</v>
      </c>
      <c r="P5" s="114">
        <f t="shared" si="4"/>
        <v>0</v>
      </c>
      <c r="Q5" s="107">
        <f t="shared" si="5"/>
        <v>0</v>
      </c>
      <c r="R5" s="111">
        <f>T5/S5</f>
        <v>2500</v>
      </c>
      <c r="S5" s="112">
        <v>10</v>
      </c>
      <c r="T5" s="113">
        <f>(500*10)+20000</f>
        <v>25000</v>
      </c>
      <c r="U5" s="114">
        <f>R5</f>
        <v>2500</v>
      </c>
      <c r="V5" s="114">
        <f>U5*S5</f>
        <v>25000</v>
      </c>
      <c r="W5" s="114">
        <f t="shared" si="7"/>
        <v>0</v>
      </c>
      <c r="X5" s="107">
        <f t="shared" si="8"/>
        <v>0</v>
      </c>
      <c r="Y5" s="281">
        <f>AA5/Z5</f>
        <v>2166.6666666666665</v>
      </c>
      <c r="Z5" s="282">
        <v>12</v>
      </c>
      <c r="AA5" s="283">
        <f>(500*12)+20000</f>
        <v>26000</v>
      </c>
      <c r="AB5" s="284">
        <f>Y5</f>
        <v>2166.6666666666665</v>
      </c>
      <c r="AC5" s="284">
        <f>AB5*Z5</f>
        <v>26000</v>
      </c>
      <c r="AD5" s="284">
        <f t="shared" si="10"/>
        <v>0</v>
      </c>
      <c r="AE5" s="153">
        <f t="shared" si="11"/>
        <v>0</v>
      </c>
    </row>
    <row r="6" spans="1:31" s="108" customFormat="1" x14ac:dyDescent="0.2">
      <c r="A6" s="115">
        <v>4</v>
      </c>
      <c r="B6" s="116" t="s">
        <v>11</v>
      </c>
      <c r="C6" s="117" t="s">
        <v>14</v>
      </c>
      <c r="D6" s="105">
        <v>0</v>
      </c>
      <c r="E6" s="118">
        <v>5</v>
      </c>
      <c r="F6" s="119">
        <f t="shared" ref="F6" si="12">D6*E6</f>
        <v>0</v>
      </c>
      <c r="G6" s="106">
        <f>10000+185</f>
        <v>10185</v>
      </c>
      <c r="H6" s="106">
        <f t="shared" ref="H6" si="13">G6*E6</f>
        <v>50925</v>
      </c>
      <c r="I6" s="106">
        <f t="shared" si="1"/>
        <v>10185</v>
      </c>
      <c r="J6" s="107">
        <f t="shared" si="2"/>
        <v>50925</v>
      </c>
      <c r="K6" s="105">
        <v>0</v>
      </c>
      <c r="L6" s="118">
        <v>8</v>
      </c>
      <c r="M6" s="119">
        <f t="shared" ref="M6" si="14">K6*L6</f>
        <v>0</v>
      </c>
      <c r="N6" s="106">
        <f>10000+1320</f>
        <v>11320</v>
      </c>
      <c r="O6" s="106">
        <f t="shared" ref="O6" si="15">N6*L6</f>
        <v>90560</v>
      </c>
      <c r="P6" s="106">
        <f t="shared" si="4"/>
        <v>11320</v>
      </c>
      <c r="Q6" s="107">
        <f t="shared" si="5"/>
        <v>90560</v>
      </c>
      <c r="R6" s="105">
        <v>0</v>
      </c>
      <c r="S6" s="118">
        <v>10</v>
      </c>
      <c r="T6" s="119">
        <f t="shared" ref="T6" si="16">R6*S6</f>
        <v>0</v>
      </c>
      <c r="U6" s="106">
        <f>10000+17122+6720</f>
        <v>33842</v>
      </c>
      <c r="V6" s="106">
        <f t="shared" ref="V6" si="17">U6*S6</f>
        <v>338420</v>
      </c>
      <c r="W6" s="106">
        <f t="shared" si="7"/>
        <v>33842</v>
      </c>
      <c r="X6" s="107">
        <f t="shared" si="8"/>
        <v>338420</v>
      </c>
      <c r="Y6" s="154">
        <v>0</v>
      </c>
      <c r="Z6" s="286">
        <v>12</v>
      </c>
      <c r="AA6" s="287">
        <f t="shared" ref="AA6" si="18">Y6*Z6</f>
        <v>0</v>
      </c>
      <c r="AB6" s="152">
        <f>10000-93</f>
        <v>9907</v>
      </c>
      <c r="AC6" s="152">
        <f t="shared" ref="AC6" si="19">AB6*Z6</f>
        <v>118884</v>
      </c>
      <c r="AD6" s="152">
        <f t="shared" si="10"/>
        <v>9907</v>
      </c>
      <c r="AE6" s="153">
        <f t="shared" si="11"/>
        <v>118884</v>
      </c>
    </row>
    <row r="7" spans="1:31" s="108" customFormat="1" ht="50.25" customHeight="1" x14ac:dyDescent="0.2">
      <c r="A7" s="115">
        <v>5</v>
      </c>
      <c r="B7" s="116" t="s">
        <v>71</v>
      </c>
      <c r="C7" s="218" t="s">
        <v>68</v>
      </c>
      <c r="D7" s="105">
        <f>F7/E7</f>
        <v>17200</v>
      </c>
      <c r="E7" s="118">
        <v>5</v>
      </c>
      <c r="F7" s="119">
        <f>43000*2</f>
        <v>86000</v>
      </c>
      <c r="G7" s="106">
        <f>H7/E7</f>
        <v>18920</v>
      </c>
      <c r="H7" s="106">
        <f>F7+(F7*10%)</f>
        <v>94600</v>
      </c>
      <c r="I7" s="106">
        <f>G7-D7</f>
        <v>1720</v>
      </c>
      <c r="J7" s="107">
        <f t="shared" si="2"/>
        <v>8600</v>
      </c>
      <c r="K7" s="105">
        <f>M7/L7</f>
        <v>16125</v>
      </c>
      <c r="L7" s="118">
        <v>8</v>
      </c>
      <c r="M7" s="119">
        <f>43000*3</f>
        <v>129000</v>
      </c>
      <c r="N7" s="106">
        <f>O7/L7+5400</f>
        <v>23137.5</v>
      </c>
      <c r="O7" s="106">
        <f>M7+(M7*10%)</f>
        <v>141900</v>
      </c>
      <c r="P7" s="106">
        <f>N7-K7</f>
        <v>7012.5</v>
      </c>
      <c r="Q7" s="107">
        <f t="shared" si="5"/>
        <v>56100</v>
      </c>
      <c r="R7" s="105">
        <f>T7/S7</f>
        <v>12900</v>
      </c>
      <c r="S7" s="118">
        <v>10</v>
      </c>
      <c r="T7" s="119">
        <f>43000*3</f>
        <v>129000</v>
      </c>
      <c r="U7" s="106">
        <f>V7/S7</f>
        <v>14190</v>
      </c>
      <c r="V7" s="106">
        <f>T7+(T7*10%)</f>
        <v>141900</v>
      </c>
      <c r="W7" s="106">
        <f>U7-R7</f>
        <v>1290</v>
      </c>
      <c r="X7" s="107">
        <f t="shared" si="8"/>
        <v>12900</v>
      </c>
      <c r="Y7" s="154">
        <f>AA7/Z7</f>
        <v>9666.6666666666661</v>
      </c>
      <c r="Z7" s="286">
        <v>12</v>
      </c>
      <c r="AA7" s="287">
        <f>((29000+((620+570)*C42))*4)</f>
        <v>116000</v>
      </c>
      <c r="AB7" s="152">
        <f>AC7/Z7</f>
        <v>10150</v>
      </c>
      <c r="AC7" s="152">
        <f>((29000+((620+570)*C42))*4)+(((29000+((620+570)*C42))*4)*5%)</f>
        <v>121800</v>
      </c>
      <c r="AD7" s="152">
        <f>AB7-Y7</f>
        <v>483.33333333333394</v>
      </c>
      <c r="AE7" s="153">
        <f t="shared" si="11"/>
        <v>5800.0000000000073</v>
      </c>
    </row>
    <row r="8" spans="1:31" s="108" customFormat="1" x14ac:dyDescent="0.2">
      <c r="A8" s="210">
        <v>6</v>
      </c>
      <c r="B8" s="211" t="s">
        <v>104</v>
      </c>
      <c r="C8" s="212"/>
      <c r="D8" s="105">
        <f t="shared" ref="D8:D10" si="20">F8/E8</f>
        <v>18600</v>
      </c>
      <c r="E8" s="213">
        <v>5</v>
      </c>
      <c r="F8" s="214">
        <f>(4500*10)+(4000*12)</f>
        <v>93000</v>
      </c>
      <c r="G8" s="106">
        <f>D8</f>
        <v>18600</v>
      </c>
      <c r="H8" s="106">
        <f t="shared" ref="H8" si="21">G8*E8</f>
        <v>93000</v>
      </c>
      <c r="I8" s="106">
        <f t="shared" ref="I8:I9" si="22">G8-D8</f>
        <v>0</v>
      </c>
      <c r="J8" s="107">
        <f t="shared" si="2"/>
        <v>0</v>
      </c>
      <c r="K8" s="105">
        <f t="shared" ref="K8:K10" si="23">M8/L8</f>
        <v>16625</v>
      </c>
      <c r="L8" s="213">
        <v>8</v>
      </c>
      <c r="M8" s="214">
        <f>(4500*10)+(4000*12)+(4000*10)</f>
        <v>133000</v>
      </c>
      <c r="N8" s="106">
        <f>K8</f>
        <v>16625</v>
      </c>
      <c r="O8" s="106">
        <f t="shared" ref="O8" si="24">N8*L8</f>
        <v>133000</v>
      </c>
      <c r="P8" s="106">
        <f t="shared" ref="P8:P10" si="25">N8-K8</f>
        <v>0</v>
      </c>
      <c r="Q8" s="107">
        <f t="shared" si="5"/>
        <v>0</v>
      </c>
      <c r="R8" s="105">
        <f t="shared" ref="R8:R10" si="26">T8/S8</f>
        <v>13300</v>
      </c>
      <c r="S8" s="213">
        <v>10</v>
      </c>
      <c r="T8" s="214">
        <f>(4500*10)+(4000*12)+(4000*10)</f>
        <v>133000</v>
      </c>
      <c r="U8" s="106">
        <f>R8</f>
        <v>13300</v>
      </c>
      <c r="V8" s="106">
        <f t="shared" ref="V8" si="27">U8*S8</f>
        <v>133000</v>
      </c>
      <c r="W8" s="106">
        <f t="shared" ref="W8:W10" si="28">U8-R8</f>
        <v>0</v>
      </c>
      <c r="X8" s="107">
        <f t="shared" si="8"/>
        <v>0</v>
      </c>
      <c r="Y8" s="154">
        <f t="shared" ref="Y8:Y9" si="29">AA8/Z8</f>
        <v>7291.666666666667</v>
      </c>
      <c r="Z8" s="100">
        <v>12</v>
      </c>
      <c r="AA8" s="101">
        <f>(4000*7)+(4000*7)+(3500*7)+(1000*7)</f>
        <v>87500</v>
      </c>
      <c r="AB8" s="152">
        <f>Y8</f>
        <v>7291.666666666667</v>
      </c>
      <c r="AC8" s="152">
        <f t="shared" ref="AC8" si="30">AB8*Z8</f>
        <v>87500</v>
      </c>
      <c r="AD8" s="152">
        <f t="shared" ref="AD8:AD9" si="31">AB8-Y8</f>
        <v>0</v>
      </c>
      <c r="AE8" s="153">
        <f t="shared" si="11"/>
        <v>0</v>
      </c>
    </row>
    <row r="9" spans="1:31" s="97" customFormat="1" x14ac:dyDescent="0.2">
      <c r="A9" s="210">
        <v>7</v>
      </c>
      <c r="B9" s="219" t="s">
        <v>73</v>
      </c>
      <c r="C9" s="218"/>
      <c r="D9" s="215">
        <f t="shared" si="20"/>
        <v>312</v>
      </c>
      <c r="E9" s="213">
        <v>5</v>
      </c>
      <c r="F9" s="214">
        <f>780*2</f>
        <v>1560</v>
      </c>
      <c r="G9" s="216">
        <f>H9/E9</f>
        <v>312</v>
      </c>
      <c r="H9" s="216">
        <f>F9</f>
        <v>1560</v>
      </c>
      <c r="I9" s="216">
        <f t="shared" si="22"/>
        <v>0</v>
      </c>
      <c r="J9" s="217">
        <f t="shared" si="2"/>
        <v>0</v>
      </c>
      <c r="K9" s="215">
        <f t="shared" si="23"/>
        <v>292.5</v>
      </c>
      <c r="L9" s="213">
        <v>8</v>
      </c>
      <c r="M9" s="214">
        <f>780*3</f>
        <v>2340</v>
      </c>
      <c r="N9" s="216">
        <f>O9/L9</f>
        <v>292.5</v>
      </c>
      <c r="O9" s="216">
        <f>M9</f>
        <v>2340</v>
      </c>
      <c r="P9" s="216">
        <f t="shared" si="25"/>
        <v>0</v>
      </c>
      <c r="Q9" s="217">
        <f t="shared" si="5"/>
        <v>0</v>
      </c>
      <c r="R9" s="215">
        <f t="shared" si="26"/>
        <v>234</v>
      </c>
      <c r="S9" s="213">
        <v>10</v>
      </c>
      <c r="T9" s="214">
        <f>780*3</f>
        <v>2340</v>
      </c>
      <c r="U9" s="216">
        <f>V9/S9</f>
        <v>234</v>
      </c>
      <c r="V9" s="216">
        <f>T9</f>
        <v>2340</v>
      </c>
      <c r="W9" s="216">
        <f t="shared" si="28"/>
        <v>0</v>
      </c>
      <c r="X9" s="217">
        <f t="shared" si="8"/>
        <v>0</v>
      </c>
      <c r="Y9" s="102">
        <f t="shared" si="29"/>
        <v>133</v>
      </c>
      <c r="Z9" s="100">
        <v>12</v>
      </c>
      <c r="AA9" s="101">
        <f>((399*4)+(45*C42))</f>
        <v>1596</v>
      </c>
      <c r="AB9" s="103">
        <f>AC9/Z9</f>
        <v>133</v>
      </c>
      <c r="AC9" s="103">
        <f>AA9</f>
        <v>1596</v>
      </c>
      <c r="AD9" s="103">
        <f t="shared" si="31"/>
        <v>0</v>
      </c>
      <c r="AE9" s="104">
        <f t="shared" si="11"/>
        <v>0</v>
      </c>
    </row>
    <row r="10" spans="1:31" s="97" customFormat="1" x14ac:dyDescent="0.2">
      <c r="A10" s="210">
        <v>8</v>
      </c>
      <c r="B10" s="219" t="s">
        <v>72</v>
      </c>
      <c r="C10" s="218"/>
      <c r="D10" s="215">
        <f t="shared" si="20"/>
        <v>600</v>
      </c>
      <c r="E10" s="213">
        <v>5</v>
      </c>
      <c r="F10" s="214">
        <f>1500*2</f>
        <v>3000</v>
      </c>
      <c r="G10" s="216">
        <f>H10/E10</f>
        <v>600</v>
      </c>
      <c r="H10" s="216">
        <f>F10</f>
        <v>3000</v>
      </c>
      <c r="I10" s="216">
        <f t="shared" ref="I10" si="32">G10-D10</f>
        <v>0</v>
      </c>
      <c r="J10" s="217">
        <f t="shared" ref="J10" si="33">I10*E10</f>
        <v>0</v>
      </c>
      <c r="K10" s="215">
        <f t="shared" si="23"/>
        <v>562.5</v>
      </c>
      <c r="L10" s="213">
        <v>8</v>
      </c>
      <c r="M10" s="214">
        <f>1500*3</f>
        <v>4500</v>
      </c>
      <c r="N10" s="216">
        <f>O10/L10</f>
        <v>562.5</v>
      </c>
      <c r="O10" s="216">
        <f>M10</f>
        <v>4500</v>
      </c>
      <c r="P10" s="216">
        <f t="shared" si="25"/>
        <v>0</v>
      </c>
      <c r="Q10" s="217">
        <f t="shared" si="5"/>
        <v>0</v>
      </c>
      <c r="R10" s="215">
        <f t="shared" si="26"/>
        <v>450</v>
      </c>
      <c r="S10" s="213">
        <v>10</v>
      </c>
      <c r="T10" s="214">
        <f>1500*3</f>
        <v>4500</v>
      </c>
      <c r="U10" s="216">
        <f>V10/S10</f>
        <v>450</v>
      </c>
      <c r="V10" s="216">
        <f>T10</f>
        <v>4500</v>
      </c>
      <c r="W10" s="216">
        <f t="shared" si="28"/>
        <v>0</v>
      </c>
      <c r="X10" s="217">
        <f t="shared" si="8"/>
        <v>0</v>
      </c>
      <c r="Y10" s="102"/>
      <c r="Z10" s="100"/>
      <c r="AA10" s="101"/>
      <c r="AB10" s="103"/>
      <c r="AC10" s="103"/>
      <c r="AD10" s="103"/>
      <c r="AE10" s="104"/>
    </row>
    <row r="11" spans="1:31" s="97" customFormat="1" ht="16" thickBot="1" x14ac:dyDescent="0.25">
      <c r="A11" s="98"/>
      <c r="B11" s="138" t="s">
        <v>38</v>
      </c>
      <c r="C11" s="99"/>
      <c r="D11" s="102"/>
      <c r="E11" s="100"/>
      <c r="F11" s="101"/>
      <c r="G11" s="103"/>
      <c r="H11" s="103"/>
      <c r="I11" s="103"/>
      <c r="J11" s="104"/>
      <c r="K11" s="102"/>
      <c r="L11" s="100"/>
      <c r="M11" s="101"/>
      <c r="N11" s="103"/>
      <c r="O11" s="103"/>
      <c r="P11" s="103"/>
      <c r="Q11" s="104"/>
      <c r="R11" s="102"/>
      <c r="S11" s="100"/>
      <c r="T11" s="101"/>
      <c r="U11" s="103"/>
      <c r="V11" s="103"/>
      <c r="W11" s="103"/>
      <c r="X11" s="104"/>
      <c r="Y11" s="102"/>
      <c r="Z11" s="100"/>
      <c r="AA11" s="101"/>
      <c r="AB11" s="103"/>
      <c r="AC11" s="103"/>
      <c r="AD11" s="103"/>
      <c r="AE11" s="104"/>
    </row>
    <row r="12" spans="1:31" s="97" customFormat="1" x14ac:dyDescent="0.2">
      <c r="A12" s="140" t="s">
        <v>41</v>
      </c>
      <c r="B12" s="130" t="s">
        <v>74</v>
      </c>
      <c r="C12" s="133" t="s">
        <v>45</v>
      </c>
      <c r="D12" s="134">
        <f>F12/E12</f>
        <v>13082.4</v>
      </c>
      <c r="E12" s="135">
        <v>5</v>
      </c>
      <c r="F12" s="136">
        <f>(474*3*C41)</f>
        <v>65412</v>
      </c>
      <c r="G12" s="137">
        <f>H12/E12</f>
        <v>13736.52</v>
      </c>
      <c r="H12" s="136">
        <f t="shared" ref="H12:H24" si="34">F12+(F12*5%)</f>
        <v>68682.600000000006</v>
      </c>
      <c r="I12" s="137">
        <f>G12-D12</f>
        <v>654.1200000000008</v>
      </c>
      <c r="J12" s="141">
        <f>I12*E12</f>
        <v>3270.600000000004</v>
      </c>
      <c r="K12" s="134">
        <f>M12/L12</f>
        <v>10902</v>
      </c>
      <c r="L12" s="135">
        <v>8</v>
      </c>
      <c r="M12" s="136">
        <f>(474*4*C41)</f>
        <v>87216</v>
      </c>
      <c r="N12" s="137">
        <f>O12/L12</f>
        <v>11447.1</v>
      </c>
      <c r="O12" s="136">
        <f t="shared" ref="O12:O24" si="35">M12+(M12*5%)</f>
        <v>91576.8</v>
      </c>
      <c r="P12" s="137">
        <f>N12-K12</f>
        <v>545.10000000000036</v>
      </c>
      <c r="Q12" s="141">
        <f>P12*L12</f>
        <v>4360.8000000000029</v>
      </c>
      <c r="R12" s="134">
        <f>T12/S12</f>
        <v>10902</v>
      </c>
      <c r="S12" s="135">
        <v>10</v>
      </c>
      <c r="T12" s="136">
        <f>(474*5*C41)</f>
        <v>109020</v>
      </c>
      <c r="U12" s="137">
        <f>V12/S12</f>
        <v>11447.1</v>
      </c>
      <c r="V12" s="136">
        <f t="shared" ref="V12:V24" si="36">T12+(T12*5%)</f>
        <v>114471</v>
      </c>
      <c r="W12" s="137">
        <f>U12-R12</f>
        <v>545.10000000000036</v>
      </c>
      <c r="X12" s="141">
        <f>W12*S12</f>
        <v>5451.0000000000036</v>
      </c>
      <c r="Y12" s="234">
        <f>AA12/Z12</f>
        <v>0</v>
      </c>
      <c r="Z12" s="235">
        <v>12</v>
      </c>
      <c r="AA12" s="236">
        <f>(303*6*C42)</f>
        <v>0</v>
      </c>
      <c r="AB12" s="237">
        <f t="shared" ref="AB12" si="37">AC12/Z12</f>
        <v>0</v>
      </c>
      <c r="AC12" s="236">
        <f>(303*6*C42)+((303*6*C42)*5%)</f>
        <v>0</v>
      </c>
      <c r="AD12" s="237">
        <f>AB12-Y12</f>
        <v>0</v>
      </c>
      <c r="AE12" s="288">
        <f t="shared" ref="AE12:AE19" si="38">AD12*Z12</f>
        <v>0</v>
      </c>
    </row>
    <row r="13" spans="1:31" s="97" customFormat="1" x14ac:dyDescent="0.2">
      <c r="A13" s="155" t="s">
        <v>42</v>
      </c>
      <c r="B13" s="273" t="s">
        <v>76</v>
      </c>
      <c r="C13" s="156" t="s">
        <v>45</v>
      </c>
      <c r="D13" s="157">
        <f>F13/E13</f>
        <v>4360.8</v>
      </c>
      <c r="E13" s="158">
        <v>5</v>
      </c>
      <c r="F13" s="159">
        <f>(474)*C41</f>
        <v>21804</v>
      </c>
      <c r="G13" s="160">
        <f>H13/E13</f>
        <v>4578.84</v>
      </c>
      <c r="H13" s="159">
        <f t="shared" si="34"/>
        <v>22894.2</v>
      </c>
      <c r="I13" s="160">
        <f>G13-D13</f>
        <v>218.03999999999996</v>
      </c>
      <c r="J13" s="161">
        <f t="shared" ref="J13:J24" si="39">I13*E13</f>
        <v>1090.1999999999998</v>
      </c>
      <c r="K13" s="157">
        <f>M13/L13</f>
        <v>5267</v>
      </c>
      <c r="L13" s="158">
        <v>8</v>
      </c>
      <c r="M13" s="159">
        <f>(474+442)*C41</f>
        <v>42136</v>
      </c>
      <c r="N13" s="160">
        <f>O13/L13</f>
        <v>5530.35</v>
      </c>
      <c r="O13" s="159">
        <f t="shared" si="35"/>
        <v>44242.8</v>
      </c>
      <c r="P13" s="160">
        <f>N13-K13</f>
        <v>263.35000000000036</v>
      </c>
      <c r="Q13" s="161">
        <f t="shared" ref="Q13:Q24" si="40">P13*L13</f>
        <v>2106.8000000000029</v>
      </c>
      <c r="R13" s="157">
        <f>T13/S13</f>
        <v>4213.6000000000004</v>
      </c>
      <c r="S13" s="158">
        <v>10</v>
      </c>
      <c r="T13" s="159">
        <f>(474+442)*C41</f>
        <v>42136</v>
      </c>
      <c r="U13" s="160">
        <f>V13/S13</f>
        <v>4424.2800000000007</v>
      </c>
      <c r="V13" s="159">
        <f t="shared" si="36"/>
        <v>44242.8</v>
      </c>
      <c r="W13" s="160">
        <f>U13-R13</f>
        <v>210.68000000000029</v>
      </c>
      <c r="X13" s="161">
        <f t="shared" ref="X13:X24" si="41">W13*S13</f>
        <v>2106.8000000000029</v>
      </c>
      <c r="Y13" s="259">
        <f>AA13/Z13</f>
        <v>283.33333333333331</v>
      </c>
      <c r="Z13" s="260">
        <v>12</v>
      </c>
      <c r="AA13" s="261">
        <f>(((303*2)*C42)+(850*4))</f>
        <v>3400</v>
      </c>
      <c r="AB13" s="262">
        <f>AC13/Z13</f>
        <v>297.5</v>
      </c>
      <c r="AC13" s="261">
        <f>(((303*2)*C42)+(850*4))+((((303*2)*C42)+(850*4))*5%)</f>
        <v>3570</v>
      </c>
      <c r="AD13" s="262">
        <f>AB13-Y13</f>
        <v>14.166666666666686</v>
      </c>
      <c r="AE13" s="289">
        <f t="shared" si="38"/>
        <v>170.00000000000023</v>
      </c>
    </row>
    <row r="14" spans="1:31" s="97" customFormat="1" ht="31" thickBot="1" x14ac:dyDescent="0.25">
      <c r="A14" s="142" t="s">
        <v>51</v>
      </c>
      <c r="B14" s="143" t="s">
        <v>77</v>
      </c>
      <c r="C14" s="144"/>
      <c r="D14" s="145">
        <f>F14/E14</f>
        <v>404.8</v>
      </c>
      <c r="E14" s="146">
        <v>5</v>
      </c>
      <c r="F14" s="147">
        <f>22*2*C41</f>
        <v>2024</v>
      </c>
      <c r="G14" s="148">
        <f t="shared" ref="G14" si="42">H14/E14</f>
        <v>425.03999999999996</v>
      </c>
      <c r="H14" s="147">
        <f t="shared" si="34"/>
        <v>2125.1999999999998</v>
      </c>
      <c r="I14" s="148">
        <f>G14-D14</f>
        <v>20.239999999999952</v>
      </c>
      <c r="J14" s="149">
        <f t="shared" si="39"/>
        <v>101.19999999999976</v>
      </c>
      <c r="K14" s="145">
        <f>M14/L14</f>
        <v>506</v>
      </c>
      <c r="L14" s="146">
        <v>8</v>
      </c>
      <c r="M14" s="147">
        <f>22*2*2*C41</f>
        <v>4048</v>
      </c>
      <c r="N14" s="148">
        <f t="shared" ref="N14" si="43">O14/L14</f>
        <v>531.29999999999995</v>
      </c>
      <c r="O14" s="147">
        <f t="shared" si="35"/>
        <v>4250.3999999999996</v>
      </c>
      <c r="P14" s="148">
        <f>N14-K14</f>
        <v>25.299999999999955</v>
      </c>
      <c r="Q14" s="149">
        <f t="shared" si="40"/>
        <v>202.39999999999964</v>
      </c>
      <c r="R14" s="145">
        <f>T14/S14</f>
        <v>404.8</v>
      </c>
      <c r="S14" s="146">
        <v>10</v>
      </c>
      <c r="T14" s="147">
        <f>22*2*2*C41</f>
        <v>4048</v>
      </c>
      <c r="U14" s="148">
        <f t="shared" ref="U14" si="44">V14/S14</f>
        <v>425.03999999999996</v>
      </c>
      <c r="V14" s="147">
        <f t="shared" si="36"/>
        <v>4250.3999999999996</v>
      </c>
      <c r="W14" s="148">
        <f>U14-R14</f>
        <v>20.239999999999952</v>
      </c>
      <c r="X14" s="149">
        <f t="shared" si="41"/>
        <v>202.39999999999952</v>
      </c>
      <c r="Y14" s="290">
        <f>AA14/Z14</f>
        <v>0</v>
      </c>
      <c r="Z14" s="291">
        <v>12</v>
      </c>
      <c r="AA14" s="292">
        <f>(30*3*C42)</f>
        <v>0</v>
      </c>
      <c r="AB14" s="293">
        <f t="shared" ref="AB14" si="45">AC14/Z14</f>
        <v>0</v>
      </c>
      <c r="AC14" s="292">
        <f>(30*3*C42)+((30*3*C42)*5%)</f>
        <v>0</v>
      </c>
      <c r="AD14" s="293">
        <f>AB14-Y14</f>
        <v>0</v>
      </c>
      <c r="AE14" s="294">
        <f t="shared" si="38"/>
        <v>0</v>
      </c>
    </row>
    <row r="15" spans="1:31" s="108" customFormat="1" x14ac:dyDescent="0.2">
      <c r="A15" s="122" t="s">
        <v>47</v>
      </c>
      <c r="B15" s="123" t="s">
        <v>78</v>
      </c>
      <c r="C15" s="124" t="s">
        <v>45</v>
      </c>
      <c r="D15" s="125">
        <f t="shared" ref="D15:D17" si="46">F15/E15</f>
        <v>9246</v>
      </c>
      <c r="E15" s="126">
        <v>5</v>
      </c>
      <c r="F15" s="127">
        <f>335*3*C41</f>
        <v>46230</v>
      </c>
      <c r="G15" s="128">
        <f>H15/E15</f>
        <v>9708.2999999999993</v>
      </c>
      <c r="H15" s="128">
        <f t="shared" si="34"/>
        <v>48541.5</v>
      </c>
      <c r="I15" s="128">
        <f>G15-D15</f>
        <v>462.29999999999927</v>
      </c>
      <c r="J15" s="129">
        <f t="shared" si="39"/>
        <v>2311.4999999999964</v>
      </c>
      <c r="K15" s="125">
        <f t="shared" ref="K15:K17" si="47">M15/L15</f>
        <v>7705</v>
      </c>
      <c r="L15" s="126">
        <v>8</v>
      </c>
      <c r="M15" s="127">
        <f>335*4*C41</f>
        <v>61640</v>
      </c>
      <c r="N15" s="128">
        <f>O15/L15</f>
        <v>8090.25</v>
      </c>
      <c r="O15" s="128">
        <f t="shared" si="35"/>
        <v>64722</v>
      </c>
      <c r="P15" s="128">
        <f>N15-K15</f>
        <v>385.25</v>
      </c>
      <c r="Q15" s="129">
        <f t="shared" si="40"/>
        <v>3082</v>
      </c>
      <c r="R15" s="125">
        <f t="shared" ref="R15:R17" si="48">T15/S15</f>
        <v>7705</v>
      </c>
      <c r="S15" s="126">
        <v>10</v>
      </c>
      <c r="T15" s="127">
        <f>335*5*C41</f>
        <v>77050</v>
      </c>
      <c r="U15" s="128">
        <f>V15/S15</f>
        <v>8090.25</v>
      </c>
      <c r="V15" s="128">
        <f t="shared" si="36"/>
        <v>80902.5</v>
      </c>
      <c r="W15" s="128">
        <f>U15-R15</f>
        <v>385.25</v>
      </c>
      <c r="X15" s="129">
        <f t="shared" si="41"/>
        <v>3852.5</v>
      </c>
      <c r="Y15" s="295">
        <f t="shared" ref="Y15:Y17" si="49">AA15/Z15</f>
        <v>850</v>
      </c>
      <c r="Z15" s="296">
        <v>12</v>
      </c>
      <c r="AA15" s="297">
        <f>((239*6*C42)+(850*12))</f>
        <v>10200</v>
      </c>
      <c r="AB15" s="298">
        <f>AC15/Z15</f>
        <v>892.5</v>
      </c>
      <c r="AC15" s="298">
        <f>((239*6*C42)+(850*12))+(((239*6*C42)+(850*12))*5%)</f>
        <v>10710</v>
      </c>
      <c r="AD15" s="298">
        <f>AB15-Y15</f>
        <v>42.5</v>
      </c>
      <c r="AE15" s="299">
        <f t="shared" si="38"/>
        <v>510</v>
      </c>
    </row>
    <row r="16" spans="1:31" s="108" customFormat="1" ht="31" thickBot="1" x14ac:dyDescent="0.25">
      <c r="A16" s="166" t="s">
        <v>48</v>
      </c>
      <c r="B16" s="167" t="s">
        <v>79</v>
      </c>
      <c r="C16" s="168" t="s">
        <v>45</v>
      </c>
      <c r="D16" s="169">
        <f t="shared" si="46"/>
        <v>3082</v>
      </c>
      <c r="E16" s="170">
        <v>5</v>
      </c>
      <c r="F16" s="171">
        <f>(335)*C41</f>
        <v>15410</v>
      </c>
      <c r="G16" s="172">
        <f t="shared" ref="G16:G24" si="50">H16/E16</f>
        <v>3236.1</v>
      </c>
      <c r="H16" s="172">
        <f t="shared" si="34"/>
        <v>16180.5</v>
      </c>
      <c r="I16" s="172">
        <f t="shared" ref="I16:I17" si="51">G16-D16</f>
        <v>154.09999999999991</v>
      </c>
      <c r="J16" s="173">
        <f t="shared" si="39"/>
        <v>770.49999999999955</v>
      </c>
      <c r="K16" s="169">
        <f t="shared" si="47"/>
        <v>3680</v>
      </c>
      <c r="L16" s="170">
        <v>8</v>
      </c>
      <c r="M16" s="171">
        <f>(335+305)*C41</f>
        <v>29440</v>
      </c>
      <c r="N16" s="172">
        <f t="shared" ref="N16:N24" si="52">O16/L16</f>
        <v>3864</v>
      </c>
      <c r="O16" s="172">
        <f t="shared" si="35"/>
        <v>30912</v>
      </c>
      <c r="P16" s="172">
        <f t="shared" ref="P16:P17" si="53">N16-K16</f>
        <v>184</v>
      </c>
      <c r="Q16" s="173">
        <f t="shared" si="40"/>
        <v>1472</v>
      </c>
      <c r="R16" s="169">
        <f t="shared" si="48"/>
        <v>2944</v>
      </c>
      <c r="S16" s="170">
        <v>10</v>
      </c>
      <c r="T16" s="171">
        <f>(335+305)*C41</f>
        <v>29440</v>
      </c>
      <c r="U16" s="172">
        <f t="shared" ref="U16:U24" si="54">V16/S16</f>
        <v>3091.2</v>
      </c>
      <c r="V16" s="172">
        <f t="shared" si="36"/>
        <v>30912</v>
      </c>
      <c r="W16" s="172">
        <f t="shared" ref="W16:W17" si="55">U16-R16</f>
        <v>147.19999999999982</v>
      </c>
      <c r="X16" s="173">
        <f t="shared" si="41"/>
        <v>1471.9999999999982</v>
      </c>
      <c r="Y16" s="229">
        <f t="shared" si="49"/>
        <v>283.33333333333331</v>
      </c>
      <c r="Z16" s="230">
        <v>12</v>
      </c>
      <c r="AA16" s="231">
        <f>((239*2*C42)+(850*4))</f>
        <v>3400</v>
      </c>
      <c r="AB16" s="232">
        <f t="shared" ref="AB16:AB19" si="56">AC16/Z16</f>
        <v>297.5</v>
      </c>
      <c r="AC16" s="232">
        <f>((239*2*C42)+(850*4))+(((239*2*C42)+(850*4))*5%)</f>
        <v>3570</v>
      </c>
      <c r="AD16" s="232">
        <f t="shared" ref="AD16:AD17" si="57">AB16-Y16</f>
        <v>14.166666666666686</v>
      </c>
      <c r="AE16" s="233">
        <f t="shared" si="38"/>
        <v>170.00000000000023</v>
      </c>
    </row>
    <row r="17" spans="1:31" s="108" customFormat="1" x14ac:dyDescent="0.2">
      <c r="A17" s="140" t="s">
        <v>52</v>
      </c>
      <c r="B17" s="130" t="s">
        <v>80</v>
      </c>
      <c r="C17" s="133" t="s">
        <v>82</v>
      </c>
      <c r="D17" s="134">
        <f t="shared" si="46"/>
        <v>6182.4</v>
      </c>
      <c r="E17" s="135">
        <v>5</v>
      </c>
      <c r="F17" s="136">
        <f>224*3*C41</f>
        <v>30912</v>
      </c>
      <c r="G17" s="137">
        <f t="shared" si="50"/>
        <v>6491.5199999999995</v>
      </c>
      <c r="H17" s="137">
        <f t="shared" si="34"/>
        <v>32457.599999999999</v>
      </c>
      <c r="I17" s="137">
        <f t="shared" si="51"/>
        <v>309.11999999999989</v>
      </c>
      <c r="J17" s="174">
        <f t="shared" si="39"/>
        <v>1545.5999999999995</v>
      </c>
      <c r="K17" s="134">
        <f t="shared" si="47"/>
        <v>5023.2</v>
      </c>
      <c r="L17" s="135">
        <v>8</v>
      </c>
      <c r="M17" s="136">
        <f>((224*3)+(201.6*1))*C41</f>
        <v>40185.599999999999</v>
      </c>
      <c r="N17" s="137">
        <f t="shared" si="52"/>
        <v>5274.36</v>
      </c>
      <c r="O17" s="137">
        <f t="shared" si="35"/>
        <v>42194.879999999997</v>
      </c>
      <c r="P17" s="137">
        <f t="shared" si="53"/>
        <v>251.15999999999985</v>
      </c>
      <c r="Q17" s="174">
        <f t="shared" si="40"/>
        <v>2009.2799999999988</v>
      </c>
      <c r="R17" s="134">
        <f t="shared" si="48"/>
        <v>4945.92</v>
      </c>
      <c r="S17" s="135">
        <v>10</v>
      </c>
      <c r="T17" s="136">
        <f>((224*3)+(201.6*2))*C41</f>
        <v>49459.200000000004</v>
      </c>
      <c r="U17" s="137">
        <f t="shared" si="54"/>
        <v>5193.2160000000003</v>
      </c>
      <c r="V17" s="137">
        <f t="shared" si="36"/>
        <v>51932.160000000003</v>
      </c>
      <c r="W17" s="137">
        <f t="shared" si="55"/>
        <v>247.29600000000028</v>
      </c>
      <c r="X17" s="174">
        <f t="shared" si="41"/>
        <v>2472.9600000000028</v>
      </c>
      <c r="Y17" s="234">
        <f t="shared" si="49"/>
        <v>406</v>
      </c>
      <c r="Z17" s="235">
        <v>12</v>
      </c>
      <c r="AA17" s="236">
        <f>((201.99*6*C42)+(406*12))</f>
        <v>4872</v>
      </c>
      <c r="AB17" s="237">
        <f t="shared" si="56"/>
        <v>426.3</v>
      </c>
      <c r="AC17" s="237">
        <f>((201.99*6*C42)+(406*12))+(((201.99*6*C42)+(406*12))*5%)</f>
        <v>5115.6000000000004</v>
      </c>
      <c r="AD17" s="237">
        <f t="shared" si="57"/>
        <v>20.300000000000011</v>
      </c>
      <c r="AE17" s="238">
        <f t="shared" si="38"/>
        <v>243.60000000000014</v>
      </c>
    </row>
    <row r="18" spans="1:31" s="108" customFormat="1" x14ac:dyDescent="0.2">
      <c r="A18" s="190" t="s">
        <v>53</v>
      </c>
      <c r="B18" s="191" t="s">
        <v>81</v>
      </c>
      <c r="C18" s="192" t="s">
        <v>45</v>
      </c>
      <c r="D18" s="193">
        <f>F18/E18</f>
        <v>1854.72</v>
      </c>
      <c r="E18" s="194">
        <v>5</v>
      </c>
      <c r="F18" s="195">
        <f>201.6*C41</f>
        <v>9273.6</v>
      </c>
      <c r="G18" s="196">
        <f t="shared" si="50"/>
        <v>1947.4560000000001</v>
      </c>
      <c r="H18" s="195">
        <f t="shared" si="34"/>
        <v>9737.2800000000007</v>
      </c>
      <c r="I18" s="196">
        <f>G18-D18</f>
        <v>92.736000000000104</v>
      </c>
      <c r="J18" s="197">
        <f t="shared" si="39"/>
        <v>463.68000000000052</v>
      </c>
      <c r="K18" s="193">
        <f>M18/L18</f>
        <v>2318.4</v>
      </c>
      <c r="L18" s="194">
        <v>8</v>
      </c>
      <c r="M18" s="195">
        <f>201.6*2*C41</f>
        <v>18547.2</v>
      </c>
      <c r="N18" s="196">
        <f t="shared" si="52"/>
        <v>2434.3200000000002</v>
      </c>
      <c r="O18" s="195">
        <f t="shared" si="35"/>
        <v>19474.560000000001</v>
      </c>
      <c r="P18" s="196">
        <f>N18-K18</f>
        <v>115.92000000000007</v>
      </c>
      <c r="Q18" s="197">
        <f t="shared" si="40"/>
        <v>927.36000000000058</v>
      </c>
      <c r="R18" s="193">
        <f>T18/S18</f>
        <v>3000.12</v>
      </c>
      <c r="S18" s="194">
        <v>10</v>
      </c>
      <c r="T18" s="195">
        <f>(201.6*2+249)*C41</f>
        <v>30001.200000000001</v>
      </c>
      <c r="U18" s="196">
        <f t="shared" si="54"/>
        <v>3150.1260000000002</v>
      </c>
      <c r="V18" s="195">
        <f t="shared" si="36"/>
        <v>31501.260000000002</v>
      </c>
      <c r="W18" s="196">
        <f>U18-R18</f>
        <v>150.00600000000031</v>
      </c>
      <c r="X18" s="197">
        <f t="shared" si="41"/>
        <v>1500.0600000000031</v>
      </c>
      <c r="Y18" s="239">
        <f>AA18/Z18</f>
        <v>135.33333333333334</v>
      </c>
      <c r="Z18" s="240">
        <v>12</v>
      </c>
      <c r="AA18" s="241">
        <f>((262.89*C42)+(406*4))</f>
        <v>1624</v>
      </c>
      <c r="AB18" s="242">
        <f t="shared" si="56"/>
        <v>142.1</v>
      </c>
      <c r="AC18" s="241">
        <f>((262.89*C42)+(406*4))+(((262.89*C42)+(406*4))*5%)</f>
        <v>1705.2</v>
      </c>
      <c r="AD18" s="242">
        <f>AB18-Y18</f>
        <v>6.7666666666666515</v>
      </c>
      <c r="AE18" s="243">
        <f t="shared" si="38"/>
        <v>81.199999999999818</v>
      </c>
    </row>
    <row r="19" spans="1:31" s="108" customFormat="1" ht="16" thickBot="1" x14ac:dyDescent="0.25">
      <c r="A19" s="198" t="s">
        <v>83</v>
      </c>
      <c r="B19" s="199" t="s">
        <v>84</v>
      </c>
      <c r="C19" s="200" t="s">
        <v>56</v>
      </c>
      <c r="D19" s="201">
        <f>F19/E19</f>
        <v>92</v>
      </c>
      <c r="E19" s="202">
        <v>5</v>
      </c>
      <c r="F19" s="203">
        <f>10*C41</f>
        <v>460</v>
      </c>
      <c r="G19" s="204">
        <f t="shared" si="50"/>
        <v>96.6</v>
      </c>
      <c r="H19" s="203">
        <f t="shared" si="34"/>
        <v>483</v>
      </c>
      <c r="I19" s="204">
        <f>G19-D19</f>
        <v>4.5999999999999943</v>
      </c>
      <c r="J19" s="205">
        <f t="shared" si="39"/>
        <v>22.999999999999972</v>
      </c>
      <c r="K19" s="201">
        <f>M19/L19</f>
        <v>115</v>
      </c>
      <c r="L19" s="202">
        <v>8</v>
      </c>
      <c r="M19" s="203">
        <f>10*2*C41</f>
        <v>920</v>
      </c>
      <c r="N19" s="204">
        <f t="shared" si="52"/>
        <v>120.75</v>
      </c>
      <c r="O19" s="203">
        <f t="shared" si="35"/>
        <v>966</v>
      </c>
      <c r="P19" s="204">
        <f>N19-K19</f>
        <v>5.75</v>
      </c>
      <c r="Q19" s="205">
        <f t="shared" si="40"/>
        <v>46</v>
      </c>
      <c r="R19" s="201">
        <f>T19/S19</f>
        <v>92</v>
      </c>
      <c r="S19" s="202">
        <v>10</v>
      </c>
      <c r="T19" s="203">
        <f>10*2*C41</f>
        <v>920</v>
      </c>
      <c r="U19" s="204">
        <f t="shared" si="54"/>
        <v>96.6</v>
      </c>
      <c r="V19" s="203">
        <f t="shared" si="36"/>
        <v>966</v>
      </c>
      <c r="W19" s="204">
        <f>U19-R19</f>
        <v>4.5999999999999943</v>
      </c>
      <c r="X19" s="205">
        <f t="shared" si="41"/>
        <v>45.999999999999943</v>
      </c>
      <c r="Y19" s="244">
        <f>AA19/Z19</f>
        <v>0</v>
      </c>
      <c r="Z19" s="245">
        <v>12</v>
      </c>
      <c r="AA19" s="246">
        <f>(5*16*2*C42)</f>
        <v>0</v>
      </c>
      <c r="AB19" s="247">
        <f t="shared" si="56"/>
        <v>0</v>
      </c>
      <c r="AC19" s="246">
        <f>(5*16*2*C42)+((5*16*2*C42)*5%)</f>
        <v>0</v>
      </c>
      <c r="AD19" s="247">
        <f>AB19-Y19</f>
        <v>0</v>
      </c>
      <c r="AE19" s="248">
        <f t="shared" si="38"/>
        <v>0</v>
      </c>
    </row>
    <row r="20" spans="1:31" s="108" customFormat="1" x14ac:dyDescent="0.2">
      <c r="A20" s="176" t="s">
        <v>54</v>
      </c>
      <c r="B20" s="177" t="s">
        <v>85</v>
      </c>
      <c r="C20" s="178" t="s">
        <v>45</v>
      </c>
      <c r="D20" s="179">
        <f t="shared" ref="D20" si="58">F20/E20</f>
        <v>13296.023999999999</v>
      </c>
      <c r="E20" s="180">
        <v>5</v>
      </c>
      <c r="F20" s="181">
        <f>481.74*C41*3</f>
        <v>66480.12</v>
      </c>
      <c r="G20" s="182">
        <f t="shared" si="50"/>
        <v>13960.825199999997</v>
      </c>
      <c r="H20" s="182">
        <f t="shared" si="34"/>
        <v>69804.125999999989</v>
      </c>
      <c r="I20" s="182">
        <f t="shared" ref="I20:I24" si="59">G20-D20</f>
        <v>664.80119999999806</v>
      </c>
      <c r="J20" s="183">
        <f t="shared" si="39"/>
        <v>3324.0059999999903</v>
      </c>
      <c r="K20" s="179">
        <f t="shared" ref="K20" si="60">M20/L20</f>
        <v>11080.02</v>
      </c>
      <c r="L20" s="180">
        <v>8</v>
      </c>
      <c r="M20" s="181">
        <f>481.74*C41*4</f>
        <v>88640.16</v>
      </c>
      <c r="N20" s="182">
        <f t="shared" si="52"/>
        <v>11634.021000000001</v>
      </c>
      <c r="O20" s="182">
        <f t="shared" si="35"/>
        <v>93072.168000000005</v>
      </c>
      <c r="P20" s="182">
        <f t="shared" ref="P20:P24" si="61">N20-K20</f>
        <v>554.0010000000002</v>
      </c>
      <c r="Q20" s="183">
        <f t="shared" si="40"/>
        <v>4432.0080000000016</v>
      </c>
      <c r="R20" s="179">
        <f t="shared" ref="R20" si="62">T20/S20</f>
        <v>11080.02</v>
      </c>
      <c r="S20" s="180">
        <v>10</v>
      </c>
      <c r="T20" s="181">
        <f>481.74*C41*5</f>
        <v>110800.20000000001</v>
      </c>
      <c r="U20" s="182">
        <f t="shared" si="54"/>
        <v>11634.021000000001</v>
      </c>
      <c r="V20" s="182">
        <f t="shared" si="36"/>
        <v>116340.21</v>
      </c>
      <c r="W20" s="182">
        <f t="shared" ref="W20:W24" si="63">U20-R20</f>
        <v>554.0010000000002</v>
      </c>
      <c r="X20" s="183">
        <f t="shared" si="41"/>
        <v>5540.010000000002</v>
      </c>
      <c r="Y20" s="249">
        <f t="shared" ref="Y20" si="64">AA20/Z20</f>
        <v>0</v>
      </c>
      <c r="Z20" s="250">
        <v>12</v>
      </c>
      <c r="AA20" s="251">
        <f>(315.67*6*C42)</f>
        <v>0</v>
      </c>
      <c r="AB20" s="252">
        <f t="shared" ref="AB20:AB24" si="65">AC20/Z20</f>
        <v>0</v>
      </c>
      <c r="AC20" s="252">
        <f>(315.67*6*C42)+((315.67*6*C42)*5%)</f>
        <v>0</v>
      </c>
      <c r="AD20" s="252">
        <f t="shared" ref="AD20:AD24" si="66">AB20-Y20</f>
        <v>0</v>
      </c>
      <c r="AE20" s="253">
        <f t="shared" ref="AE20:AE24" si="67">AD20*Z20</f>
        <v>0</v>
      </c>
    </row>
    <row r="21" spans="1:31" s="108" customFormat="1" ht="16" thickBot="1" x14ac:dyDescent="0.25">
      <c r="A21" s="184" t="s">
        <v>55</v>
      </c>
      <c r="B21" s="175" t="s">
        <v>86</v>
      </c>
      <c r="C21" s="209" t="s">
        <v>45</v>
      </c>
      <c r="D21" s="185">
        <f>F21/E21</f>
        <v>4432.0079999999998</v>
      </c>
      <c r="E21" s="186">
        <v>5</v>
      </c>
      <c r="F21" s="187">
        <f>481.74*C41</f>
        <v>22160.04</v>
      </c>
      <c r="G21" s="188">
        <f t="shared" si="50"/>
        <v>4653.6084000000001</v>
      </c>
      <c r="H21" s="188">
        <f t="shared" si="34"/>
        <v>23268.042000000001</v>
      </c>
      <c r="I21" s="188">
        <f t="shared" si="59"/>
        <v>221.60040000000026</v>
      </c>
      <c r="J21" s="189">
        <f t="shared" si="39"/>
        <v>1108.0020000000013</v>
      </c>
      <c r="K21" s="185">
        <f>M21/L21</f>
        <v>4454.4675000000007</v>
      </c>
      <c r="L21" s="186">
        <v>8</v>
      </c>
      <c r="M21" s="187">
        <f>774.69*C41</f>
        <v>35635.740000000005</v>
      </c>
      <c r="N21" s="188">
        <f t="shared" si="52"/>
        <v>4677.1908750000002</v>
      </c>
      <c r="O21" s="188">
        <f t="shared" si="35"/>
        <v>37417.527000000002</v>
      </c>
      <c r="P21" s="188">
        <f t="shared" si="61"/>
        <v>222.72337499999958</v>
      </c>
      <c r="Q21" s="189">
        <f t="shared" si="40"/>
        <v>1781.7869999999966</v>
      </c>
      <c r="R21" s="185">
        <f>T21/S21</f>
        <v>3563.5740000000005</v>
      </c>
      <c r="S21" s="186">
        <v>10</v>
      </c>
      <c r="T21" s="187">
        <f>774.69*C41</f>
        <v>35635.740000000005</v>
      </c>
      <c r="U21" s="188">
        <f t="shared" si="54"/>
        <v>3741.7527</v>
      </c>
      <c r="V21" s="188">
        <f t="shared" si="36"/>
        <v>37417.527000000002</v>
      </c>
      <c r="W21" s="188">
        <f t="shared" si="63"/>
        <v>178.17869999999948</v>
      </c>
      <c r="X21" s="189">
        <f t="shared" si="41"/>
        <v>1781.7869999999948</v>
      </c>
      <c r="Y21" s="254">
        <f>AA21/Z21</f>
        <v>0</v>
      </c>
      <c r="Z21" s="255">
        <v>12</v>
      </c>
      <c r="AA21" s="256">
        <f>((284.1*2)*C42)</f>
        <v>0</v>
      </c>
      <c r="AB21" s="257">
        <f t="shared" si="65"/>
        <v>0</v>
      </c>
      <c r="AC21" s="257">
        <f>((284.1*2)*C42)+(((284.1*2)*C42)*5%)</f>
        <v>0</v>
      </c>
      <c r="AD21" s="257">
        <f t="shared" si="66"/>
        <v>0</v>
      </c>
      <c r="AE21" s="258">
        <f t="shared" si="67"/>
        <v>0</v>
      </c>
    </row>
    <row r="22" spans="1:31" s="108" customFormat="1" ht="46" thickBot="1" x14ac:dyDescent="0.25">
      <c r="A22" s="122" t="s">
        <v>88</v>
      </c>
      <c r="B22" s="123" t="s">
        <v>87</v>
      </c>
      <c r="C22" s="124" t="s">
        <v>33</v>
      </c>
      <c r="D22" s="125">
        <f>F22/E22</f>
        <v>386.4</v>
      </c>
      <c r="E22" s="126">
        <v>5</v>
      </c>
      <c r="F22" s="127">
        <f>14*3*C41</f>
        <v>1932</v>
      </c>
      <c r="G22" s="128">
        <f t="shared" ref="G22" si="68">H22/E22</f>
        <v>405.71999999999997</v>
      </c>
      <c r="H22" s="128">
        <f t="shared" si="34"/>
        <v>2028.6</v>
      </c>
      <c r="I22" s="128">
        <f t="shared" ref="I22" si="69">G22-D22</f>
        <v>19.319999999999993</v>
      </c>
      <c r="J22" s="129">
        <f t="shared" ref="J22" si="70">I22*E22</f>
        <v>96.599999999999966</v>
      </c>
      <c r="K22" s="125">
        <f>M22/L22</f>
        <v>483</v>
      </c>
      <c r="L22" s="126">
        <v>8</v>
      </c>
      <c r="M22" s="127">
        <f>14*3*2*C41</f>
        <v>3864</v>
      </c>
      <c r="N22" s="128">
        <f t="shared" si="52"/>
        <v>507.15</v>
      </c>
      <c r="O22" s="128">
        <f t="shared" si="35"/>
        <v>4057.2</v>
      </c>
      <c r="P22" s="128">
        <f t="shared" si="61"/>
        <v>24.149999999999977</v>
      </c>
      <c r="Q22" s="129">
        <f t="shared" si="40"/>
        <v>193.19999999999982</v>
      </c>
      <c r="R22" s="125">
        <f>T22/S22</f>
        <v>386.4</v>
      </c>
      <c r="S22" s="126">
        <v>10</v>
      </c>
      <c r="T22" s="127">
        <f>14*3*2*C41</f>
        <v>3864</v>
      </c>
      <c r="U22" s="128">
        <f t="shared" si="54"/>
        <v>405.71999999999997</v>
      </c>
      <c r="V22" s="128">
        <f t="shared" si="36"/>
        <v>4057.2</v>
      </c>
      <c r="W22" s="128">
        <f t="shared" si="63"/>
        <v>19.319999999999993</v>
      </c>
      <c r="X22" s="129">
        <f t="shared" si="41"/>
        <v>193.19999999999993</v>
      </c>
      <c r="Y22" s="295"/>
      <c r="Z22" s="296"/>
      <c r="AA22" s="297"/>
      <c r="AB22" s="298"/>
      <c r="AC22" s="298"/>
      <c r="AD22" s="298"/>
      <c r="AE22" s="299"/>
    </row>
    <row r="23" spans="1:31" s="108" customFormat="1" x14ac:dyDescent="0.2">
      <c r="A23" s="140" t="s">
        <v>57</v>
      </c>
      <c r="B23" s="206" t="s">
        <v>89</v>
      </c>
      <c r="C23" s="133" t="s">
        <v>45</v>
      </c>
      <c r="D23" s="134">
        <f t="shared" ref="D23:D24" si="71">F23/E23</f>
        <v>4266.6839999999993</v>
      </c>
      <c r="E23" s="135">
        <v>5</v>
      </c>
      <c r="F23" s="136">
        <f>154.59*3*C41</f>
        <v>21333.42</v>
      </c>
      <c r="G23" s="137">
        <f t="shared" si="50"/>
        <v>4480.0181999999995</v>
      </c>
      <c r="H23" s="137">
        <f t="shared" si="34"/>
        <v>22400.090999999997</v>
      </c>
      <c r="I23" s="137">
        <f t="shared" si="59"/>
        <v>213.33420000000024</v>
      </c>
      <c r="J23" s="174">
        <f t="shared" si="39"/>
        <v>1066.6710000000012</v>
      </c>
      <c r="K23" s="134">
        <f t="shared" ref="K23:K24" si="72">M23/L23</f>
        <v>3555.57</v>
      </c>
      <c r="L23" s="135">
        <v>8</v>
      </c>
      <c r="M23" s="136">
        <f>154.59*4*C41</f>
        <v>28444.560000000001</v>
      </c>
      <c r="N23" s="137">
        <f t="shared" si="52"/>
        <v>3733.3485000000001</v>
      </c>
      <c r="O23" s="137">
        <f t="shared" si="35"/>
        <v>29866.788</v>
      </c>
      <c r="P23" s="137">
        <f t="shared" si="61"/>
        <v>177.77849999999989</v>
      </c>
      <c r="Q23" s="174">
        <f t="shared" si="40"/>
        <v>1422.2279999999992</v>
      </c>
      <c r="R23" s="134">
        <f t="shared" ref="R23:R24" si="73">T23/S23</f>
        <v>3555.5700000000006</v>
      </c>
      <c r="S23" s="135">
        <v>10</v>
      </c>
      <c r="T23" s="136">
        <f>154.59*5*C41</f>
        <v>35555.700000000004</v>
      </c>
      <c r="U23" s="137">
        <f t="shared" si="54"/>
        <v>3733.348500000001</v>
      </c>
      <c r="V23" s="137">
        <f t="shared" si="36"/>
        <v>37333.485000000008</v>
      </c>
      <c r="W23" s="137">
        <f t="shared" si="63"/>
        <v>177.77850000000035</v>
      </c>
      <c r="X23" s="174">
        <f t="shared" si="41"/>
        <v>1777.7850000000035</v>
      </c>
      <c r="Y23" s="234">
        <f t="shared" ref="Y23:Y24" si="74">AA23/Z23</f>
        <v>0</v>
      </c>
      <c r="Z23" s="235">
        <v>12</v>
      </c>
      <c r="AA23" s="236">
        <f>(388*6*C42)</f>
        <v>0</v>
      </c>
      <c r="AB23" s="237">
        <f t="shared" si="65"/>
        <v>0</v>
      </c>
      <c r="AC23" s="237">
        <f>(388*6*C42)+((388*6*C42)*5%)</f>
        <v>0</v>
      </c>
      <c r="AD23" s="237">
        <f t="shared" si="66"/>
        <v>0</v>
      </c>
      <c r="AE23" s="238">
        <f t="shared" si="67"/>
        <v>0</v>
      </c>
    </row>
    <row r="24" spans="1:31" s="108" customFormat="1" x14ac:dyDescent="0.2">
      <c r="A24" s="155" t="s">
        <v>58</v>
      </c>
      <c r="B24" s="207" t="s">
        <v>90</v>
      </c>
      <c r="C24" s="156" t="s">
        <v>45</v>
      </c>
      <c r="D24" s="157">
        <f t="shared" si="71"/>
        <v>1422.2280000000001</v>
      </c>
      <c r="E24" s="158">
        <v>5</v>
      </c>
      <c r="F24" s="159">
        <f>154.59*C41</f>
        <v>7111.14</v>
      </c>
      <c r="G24" s="160">
        <f t="shared" si="50"/>
        <v>1493.3394000000001</v>
      </c>
      <c r="H24" s="160">
        <f t="shared" si="34"/>
        <v>7466.6970000000001</v>
      </c>
      <c r="I24" s="160">
        <f t="shared" si="59"/>
        <v>71.111400000000003</v>
      </c>
      <c r="J24" s="208">
        <f t="shared" si="39"/>
        <v>355.55700000000002</v>
      </c>
      <c r="K24" s="157">
        <f t="shared" si="72"/>
        <v>1210.605</v>
      </c>
      <c r="L24" s="158">
        <v>8</v>
      </c>
      <c r="M24" s="159">
        <f>210.54*C41</f>
        <v>9684.84</v>
      </c>
      <c r="N24" s="160">
        <f t="shared" si="52"/>
        <v>1271.13525</v>
      </c>
      <c r="O24" s="160">
        <f t="shared" si="35"/>
        <v>10169.082</v>
      </c>
      <c r="P24" s="160">
        <f t="shared" si="61"/>
        <v>60.530250000000024</v>
      </c>
      <c r="Q24" s="208">
        <f t="shared" si="40"/>
        <v>484.24200000000019</v>
      </c>
      <c r="R24" s="157">
        <f t="shared" si="73"/>
        <v>968.48400000000004</v>
      </c>
      <c r="S24" s="158">
        <v>10</v>
      </c>
      <c r="T24" s="159">
        <f>210.54*C41</f>
        <v>9684.84</v>
      </c>
      <c r="U24" s="160">
        <f t="shared" si="54"/>
        <v>1016.9082000000001</v>
      </c>
      <c r="V24" s="160">
        <f t="shared" si="36"/>
        <v>10169.082</v>
      </c>
      <c r="W24" s="160">
        <f t="shared" si="63"/>
        <v>48.424200000000042</v>
      </c>
      <c r="X24" s="208">
        <f t="shared" si="41"/>
        <v>484.24200000000042</v>
      </c>
      <c r="Y24" s="259">
        <f t="shared" si="74"/>
        <v>0</v>
      </c>
      <c r="Z24" s="260">
        <v>12</v>
      </c>
      <c r="AA24" s="261">
        <f>(604*C42)</f>
        <v>0</v>
      </c>
      <c r="AB24" s="262">
        <f t="shared" si="65"/>
        <v>0</v>
      </c>
      <c r="AC24" s="262">
        <f>((604*C42)+(604*C42)*5%)</f>
        <v>0</v>
      </c>
      <c r="AD24" s="262">
        <f t="shared" si="66"/>
        <v>0</v>
      </c>
      <c r="AE24" s="263">
        <f t="shared" si="67"/>
        <v>0</v>
      </c>
    </row>
    <row r="25" spans="1:31" s="97" customFormat="1" x14ac:dyDescent="0.2">
      <c r="A25" s="98"/>
      <c r="B25" s="220" t="s">
        <v>39</v>
      </c>
      <c r="C25" s="99"/>
      <c r="D25" s="154"/>
      <c r="E25" s="100"/>
      <c r="F25" s="101"/>
      <c r="G25" s="152"/>
      <c r="H25" s="152"/>
      <c r="I25" s="152"/>
      <c r="J25" s="153"/>
      <c r="K25" s="154"/>
      <c r="L25" s="100"/>
      <c r="M25" s="101"/>
      <c r="N25" s="152"/>
      <c r="O25" s="152"/>
      <c r="P25" s="152"/>
      <c r="Q25" s="153"/>
      <c r="R25" s="154"/>
      <c r="S25" s="100"/>
      <c r="T25" s="101"/>
      <c r="U25" s="152"/>
      <c r="V25" s="152"/>
      <c r="W25" s="152"/>
      <c r="X25" s="153"/>
      <c r="Y25" s="154"/>
      <c r="Z25" s="100"/>
      <c r="AA25" s="101"/>
      <c r="AB25" s="152"/>
      <c r="AC25" s="152"/>
      <c r="AD25" s="152"/>
      <c r="AE25" s="153"/>
    </row>
    <row r="26" spans="1:31" s="108" customFormat="1" x14ac:dyDescent="0.2">
      <c r="A26" s="210">
        <v>14</v>
      </c>
      <c r="B26" s="211" t="s">
        <v>91</v>
      </c>
      <c r="C26" s="212" t="s">
        <v>92</v>
      </c>
      <c r="D26" s="105">
        <f>F26/E26</f>
        <v>1384.6</v>
      </c>
      <c r="E26" s="213">
        <v>5</v>
      </c>
      <c r="F26" s="214">
        <f>21.5*7*C41</f>
        <v>6923</v>
      </c>
      <c r="G26" s="106">
        <f>H26/E26</f>
        <v>1453.83</v>
      </c>
      <c r="H26" s="106">
        <f>F26+(F26*5%)</f>
        <v>7269.15</v>
      </c>
      <c r="I26" s="106">
        <f t="shared" ref="I26" si="75">G26-D26</f>
        <v>69.230000000000018</v>
      </c>
      <c r="J26" s="107">
        <f t="shared" ref="J26" si="76">I26*E26</f>
        <v>346.15000000000009</v>
      </c>
      <c r="K26" s="105">
        <f>M26/L26</f>
        <v>1359.875</v>
      </c>
      <c r="L26" s="213">
        <v>8</v>
      </c>
      <c r="M26" s="214">
        <f>21.5*11*C41</f>
        <v>10879</v>
      </c>
      <c r="N26" s="106">
        <f>O26/L26</f>
        <v>1427.8687500000001</v>
      </c>
      <c r="O26" s="106">
        <f>M26+(M26*5%)</f>
        <v>11422.95</v>
      </c>
      <c r="P26" s="106">
        <f t="shared" ref="P26" si="77">N26-K26</f>
        <v>67.993750000000091</v>
      </c>
      <c r="Q26" s="107">
        <f t="shared" ref="Q26" si="78">P26*L26</f>
        <v>543.95000000000073</v>
      </c>
      <c r="R26" s="105">
        <f>T26/S26</f>
        <v>1285.7</v>
      </c>
      <c r="S26" s="213">
        <v>10</v>
      </c>
      <c r="T26" s="214">
        <f>21.5*13*C41</f>
        <v>12857</v>
      </c>
      <c r="U26" s="106">
        <f>V26/S26</f>
        <v>1349.9850000000001</v>
      </c>
      <c r="V26" s="106">
        <f>T26+(T26*5%)</f>
        <v>13499.85</v>
      </c>
      <c r="W26" s="106">
        <f t="shared" ref="W26" si="79">U26-R26</f>
        <v>64.285000000000082</v>
      </c>
      <c r="X26" s="107">
        <f t="shared" ref="X26" si="80">W26*S26</f>
        <v>642.85000000000082</v>
      </c>
      <c r="Y26" s="154">
        <f>AA26/Z26</f>
        <v>0</v>
      </c>
      <c r="Z26" s="100">
        <v>12</v>
      </c>
      <c r="AA26" s="101">
        <f>(25*16*C42)</f>
        <v>0</v>
      </c>
      <c r="AB26" s="152">
        <f>AC26/Z26</f>
        <v>0</v>
      </c>
      <c r="AC26" s="152">
        <f>(25*16*C42)+((25*16*C42)*5%)</f>
        <v>0</v>
      </c>
      <c r="AD26" s="152">
        <f t="shared" ref="AD26" si="81">AB26-Y26</f>
        <v>0</v>
      </c>
      <c r="AE26" s="153">
        <f t="shared" ref="AE26" si="82">AD26*Z26</f>
        <v>0</v>
      </c>
    </row>
    <row r="27" spans="1:31" s="108" customFormat="1" x14ac:dyDescent="0.2">
      <c r="A27" s="210">
        <v>16</v>
      </c>
      <c r="B27" s="211" t="s">
        <v>93</v>
      </c>
      <c r="C27" s="212" t="s">
        <v>92</v>
      </c>
      <c r="D27" s="215">
        <f>F27/E27</f>
        <v>1352.4</v>
      </c>
      <c r="E27" s="213">
        <v>5</v>
      </c>
      <c r="F27" s="214">
        <f>21*7*C41</f>
        <v>6762</v>
      </c>
      <c r="G27" s="216">
        <f>H27/E27</f>
        <v>1420.02</v>
      </c>
      <c r="H27" s="106">
        <f>F27+(F27*5%)</f>
        <v>7100.1</v>
      </c>
      <c r="I27" s="106">
        <f>G27-D27</f>
        <v>67.619999999999891</v>
      </c>
      <c r="J27" s="107">
        <f>I27*E27</f>
        <v>338.09999999999945</v>
      </c>
      <c r="K27" s="215">
        <f>M27/L27</f>
        <v>1328.25</v>
      </c>
      <c r="L27" s="213">
        <v>8</v>
      </c>
      <c r="M27" s="214">
        <f>21*11*C41</f>
        <v>10626</v>
      </c>
      <c r="N27" s="216">
        <f>O27/L27</f>
        <v>1394.6624999999999</v>
      </c>
      <c r="O27" s="106">
        <f>M27+(M27*5%)</f>
        <v>11157.3</v>
      </c>
      <c r="P27" s="106">
        <f>N27-K27</f>
        <v>66.412499999999909</v>
      </c>
      <c r="Q27" s="107">
        <f>P27*L27</f>
        <v>531.29999999999927</v>
      </c>
      <c r="R27" s="215">
        <f>T27/S27</f>
        <v>1255.8</v>
      </c>
      <c r="S27" s="213">
        <v>10</v>
      </c>
      <c r="T27" s="214">
        <f>21*13*C41</f>
        <v>12558</v>
      </c>
      <c r="U27" s="216">
        <f>V27/S27</f>
        <v>1318.59</v>
      </c>
      <c r="V27" s="106">
        <f>T27+(T27*5%)</f>
        <v>13185.9</v>
      </c>
      <c r="W27" s="106">
        <f>U27-R27</f>
        <v>62.789999999999964</v>
      </c>
      <c r="X27" s="107">
        <f>W27*S27</f>
        <v>627.89999999999964</v>
      </c>
      <c r="Y27" s="102">
        <f>AA27/Z27</f>
        <v>0</v>
      </c>
      <c r="Z27" s="100">
        <v>12</v>
      </c>
      <c r="AA27" s="101">
        <f>(260*C42)</f>
        <v>0</v>
      </c>
      <c r="AB27" s="103">
        <f>AC27/Z27</f>
        <v>0</v>
      </c>
      <c r="AC27" s="152">
        <f>(260*C42)+((260*C42)*5%)</f>
        <v>0</v>
      </c>
      <c r="AD27" s="152">
        <f>AB27-Y27</f>
        <v>0</v>
      </c>
      <c r="AE27" s="153">
        <f>AD27*Z27</f>
        <v>0</v>
      </c>
    </row>
    <row r="28" spans="1:31" s="108" customFormat="1" x14ac:dyDescent="0.2">
      <c r="A28" s="210">
        <v>17</v>
      </c>
      <c r="B28" s="211" t="s">
        <v>94</v>
      </c>
      <c r="C28" s="212" t="s">
        <v>92</v>
      </c>
      <c r="D28" s="215">
        <f>F28/E28</f>
        <v>727.72</v>
      </c>
      <c r="E28" s="213">
        <v>5</v>
      </c>
      <c r="F28" s="214">
        <f>11.3*7*C41</f>
        <v>3638.6000000000004</v>
      </c>
      <c r="G28" s="216">
        <f>H28/E28</f>
        <v>764.10599999999999</v>
      </c>
      <c r="H28" s="106">
        <f>F28+(F28*5%)</f>
        <v>3820.53</v>
      </c>
      <c r="I28" s="106">
        <f>G28-D28</f>
        <v>36.385999999999967</v>
      </c>
      <c r="J28" s="107">
        <f>I28*E28</f>
        <v>181.92999999999984</v>
      </c>
      <c r="K28" s="215">
        <f>M28/L28</f>
        <v>714.72500000000002</v>
      </c>
      <c r="L28" s="213">
        <v>8</v>
      </c>
      <c r="M28" s="214">
        <f>11.3*11*C41</f>
        <v>5717.8</v>
      </c>
      <c r="N28" s="216">
        <f>O28/L28</f>
        <v>750.46125000000006</v>
      </c>
      <c r="O28" s="106">
        <f>M28+(M28*5%)</f>
        <v>6003.6900000000005</v>
      </c>
      <c r="P28" s="106">
        <f>N28-K28</f>
        <v>35.736250000000041</v>
      </c>
      <c r="Q28" s="107">
        <f>P28*L28</f>
        <v>285.89000000000033</v>
      </c>
      <c r="R28" s="215">
        <f>T28/S28</f>
        <v>675.74</v>
      </c>
      <c r="S28" s="213">
        <v>10</v>
      </c>
      <c r="T28" s="214">
        <f>11.3*13*C41</f>
        <v>6757.4000000000005</v>
      </c>
      <c r="U28" s="216">
        <f>V28/S28</f>
        <v>709.52700000000004</v>
      </c>
      <c r="V28" s="106">
        <f>T28+(T28*5%)</f>
        <v>7095.27</v>
      </c>
      <c r="W28" s="106">
        <f>U28-R28</f>
        <v>33.787000000000035</v>
      </c>
      <c r="X28" s="107">
        <f>W28*S28</f>
        <v>337.87000000000035</v>
      </c>
      <c r="Y28" s="102">
        <f>AA28/Z28</f>
        <v>0</v>
      </c>
      <c r="Z28" s="100">
        <v>12</v>
      </c>
      <c r="AA28" s="101">
        <f>(5*16*C42)</f>
        <v>0</v>
      </c>
      <c r="AB28" s="103">
        <f>AC28/Z28</f>
        <v>0</v>
      </c>
      <c r="AC28" s="152">
        <f>(5*16*C42)+((5*16*C42)*5%)</f>
        <v>0</v>
      </c>
      <c r="AD28" s="152">
        <f>AB28-Y28</f>
        <v>0</v>
      </c>
      <c r="AE28" s="153">
        <f>AD28*Z28</f>
        <v>0</v>
      </c>
    </row>
    <row r="29" spans="1:31" s="108" customFormat="1" x14ac:dyDescent="0.2">
      <c r="A29" s="210">
        <v>18</v>
      </c>
      <c r="B29" s="211" t="s">
        <v>97</v>
      </c>
      <c r="C29" s="212" t="s">
        <v>92</v>
      </c>
      <c r="D29" s="215">
        <f>F29/E29</f>
        <v>966</v>
      </c>
      <c r="E29" s="213">
        <v>5</v>
      </c>
      <c r="F29" s="214">
        <f>15*7*C41</f>
        <v>4830</v>
      </c>
      <c r="G29" s="216">
        <f>H29/E29</f>
        <v>1014.3</v>
      </c>
      <c r="H29" s="216">
        <f>F29+(F29*5%)</f>
        <v>5071.5</v>
      </c>
      <c r="I29" s="216">
        <f>G29-D29</f>
        <v>48.299999999999955</v>
      </c>
      <c r="J29" s="217">
        <f>I29*E29</f>
        <v>241.49999999999977</v>
      </c>
      <c r="K29" s="215">
        <f>M29/L29</f>
        <v>948.75</v>
      </c>
      <c r="L29" s="213">
        <v>8</v>
      </c>
      <c r="M29" s="214">
        <f>15*11*C41</f>
        <v>7590</v>
      </c>
      <c r="N29" s="216">
        <f>O29/L29</f>
        <v>996.1875</v>
      </c>
      <c r="O29" s="216">
        <f>M29+(M29*5%)</f>
        <v>7969.5</v>
      </c>
      <c r="P29" s="216">
        <f>N29-K29</f>
        <v>47.4375</v>
      </c>
      <c r="Q29" s="217">
        <f>P29*L29</f>
        <v>379.5</v>
      </c>
      <c r="R29" s="215">
        <f>T29/S29</f>
        <v>897</v>
      </c>
      <c r="S29" s="213">
        <v>10</v>
      </c>
      <c r="T29" s="214">
        <f>15*13*C41</f>
        <v>8970</v>
      </c>
      <c r="U29" s="216">
        <f>V29/S29</f>
        <v>941.85</v>
      </c>
      <c r="V29" s="216">
        <f>T29+(T29*5%)</f>
        <v>9418.5</v>
      </c>
      <c r="W29" s="216">
        <f>U29-R29</f>
        <v>44.850000000000023</v>
      </c>
      <c r="X29" s="217">
        <f>W29*S29</f>
        <v>448.50000000000023</v>
      </c>
      <c r="Y29" s="102">
        <f>AA29/Z29</f>
        <v>250</v>
      </c>
      <c r="Z29" s="100">
        <v>12</v>
      </c>
      <c r="AA29" s="101">
        <v>3000</v>
      </c>
      <c r="AB29" s="103">
        <f>AC29/Z29</f>
        <v>262.5</v>
      </c>
      <c r="AC29" s="103">
        <f>3000+(3000*5%)</f>
        <v>3150</v>
      </c>
      <c r="AD29" s="103">
        <f>AB29-Y29</f>
        <v>12.5</v>
      </c>
      <c r="AE29" s="104">
        <f>AD29*Z29</f>
        <v>150</v>
      </c>
    </row>
    <row r="30" spans="1:31" s="108" customFormat="1" x14ac:dyDescent="0.2">
      <c r="A30" s="210">
        <v>19</v>
      </c>
      <c r="B30" s="220" t="s">
        <v>98</v>
      </c>
      <c r="C30" s="212"/>
      <c r="D30" s="215">
        <f>F30/E30</f>
        <v>8280</v>
      </c>
      <c r="E30" s="213">
        <v>5</v>
      </c>
      <c r="F30" s="214">
        <f>((20*9*2*C41)+(30*9*2*C41))</f>
        <v>41400</v>
      </c>
      <c r="G30" s="216">
        <f>H30/E30</f>
        <v>8694</v>
      </c>
      <c r="H30" s="216">
        <f>F30+(F30*5%)</f>
        <v>43470</v>
      </c>
      <c r="I30" s="216">
        <f>G30-D30</f>
        <v>414</v>
      </c>
      <c r="J30" s="217">
        <f>I30*E30</f>
        <v>2070</v>
      </c>
      <c r="K30" s="215">
        <f>M30/L30</f>
        <v>7762.5</v>
      </c>
      <c r="L30" s="213">
        <v>8</v>
      </c>
      <c r="M30" s="214">
        <f>((20*9*3*C41)+(30*9*3*C41))</f>
        <v>62100</v>
      </c>
      <c r="N30" s="216">
        <f>O30/L30</f>
        <v>8150.625</v>
      </c>
      <c r="O30" s="216">
        <f>M30+(M30*5%)</f>
        <v>65205</v>
      </c>
      <c r="P30" s="216">
        <f>N30-K30</f>
        <v>388.125</v>
      </c>
      <c r="Q30" s="217">
        <f>P30*L30</f>
        <v>3105</v>
      </c>
      <c r="R30" s="215">
        <f>T30/S30</f>
        <v>6210</v>
      </c>
      <c r="S30" s="213">
        <v>10</v>
      </c>
      <c r="T30" s="214">
        <f>((20*9*3*C41)+(30*9*3*C41))</f>
        <v>62100</v>
      </c>
      <c r="U30" s="216">
        <f>V30/S30</f>
        <v>6520.5</v>
      </c>
      <c r="V30" s="216">
        <f>T30+(T30*5%)</f>
        <v>65205</v>
      </c>
      <c r="W30" s="216">
        <f>U30-R30</f>
        <v>310.5</v>
      </c>
      <c r="X30" s="217">
        <f>W30*S30</f>
        <v>3105</v>
      </c>
      <c r="Y30" s="102">
        <f>AA30/Z30</f>
        <v>0</v>
      </c>
      <c r="Z30" s="100">
        <v>12</v>
      </c>
      <c r="AA30" s="101">
        <f>((50*16*5*C42)+(65*16*6*C42))</f>
        <v>0</v>
      </c>
      <c r="AB30" s="103">
        <f>AC30/Z30</f>
        <v>0</v>
      </c>
      <c r="AC30" s="103">
        <f>((50*16*5*C42)+(65*16*6*C42))+(((50*16*5*C42)+(65*16*6*C42))*5%)</f>
        <v>0</v>
      </c>
      <c r="AD30" s="103">
        <f>AB30-Y30</f>
        <v>0</v>
      </c>
      <c r="AE30" s="104">
        <f>AD30*Z30</f>
        <v>0</v>
      </c>
    </row>
    <row r="31" spans="1:31" s="108" customFormat="1" x14ac:dyDescent="0.2">
      <c r="A31" s="210"/>
      <c r="B31" s="220" t="s">
        <v>40</v>
      </c>
      <c r="C31" s="212"/>
      <c r="D31" s="215"/>
      <c r="E31" s="213"/>
      <c r="F31" s="214"/>
      <c r="G31" s="216"/>
      <c r="H31" s="216"/>
      <c r="I31" s="216"/>
      <c r="J31" s="217"/>
      <c r="K31" s="215"/>
      <c r="L31" s="213"/>
      <c r="M31" s="214"/>
      <c r="N31" s="216"/>
      <c r="O31" s="216"/>
      <c r="P31" s="216"/>
      <c r="Q31" s="217"/>
      <c r="R31" s="215"/>
      <c r="S31" s="213"/>
      <c r="T31" s="214"/>
      <c r="U31" s="216"/>
      <c r="V31" s="216"/>
      <c r="W31" s="216"/>
      <c r="X31" s="217"/>
      <c r="Y31" s="102"/>
      <c r="Z31" s="100"/>
      <c r="AA31" s="101"/>
      <c r="AB31" s="103"/>
      <c r="AC31" s="103"/>
      <c r="AD31" s="103"/>
      <c r="AE31" s="104"/>
    </row>
    <row r="32" spans="1:31" s="108" customFormat="1" ht="30" x14ac:dyDescent="0.2">
      <c r="A32" s="210">
        <v>19</v>
      </c>
      <c r="B32" s="219" t="s">
        <v>100</v>
      </c>
      <c r="C32" s="218" t="s">
        <v>99</v>
      </c>
      <c r="D32" s="215">
        <f>F32/E32</f>
        <v>7142.0519999999988</v>
      </c>
      <c r="E32" s="213">
        <v>5</v>
      </c>
      <c r="F32" s="214">
        <f>776.31*1*C41</f>
        <v>35710.259999999995</v>
      </c>
      <c r="G32" s="216">
        <f t="shared" ref="G32:G36" si="83">H32/E32</f>
        <v>7499.1545999999989</v>
      </c>
      <c r="H32" s="106">
        <f>F32+(F32*5%)</f>
        <v>37495.772999999994</v>
      </c>
      <c r="I32" s="216">
        <f>G32-D32</f>
        <v>357.10260000000017</v>
      </c>
      <c r="J32" s="217">
        <f>I32*E32</f>
        <v>1785.5130000000008</v>
      </c>
      <c r="K32" s="215">
        <f>M32/L32</f>
        <v>8927.5649999999987</v>
      </c>
      <c r="L32" s="213">
        <v>8</v>
      </c>
      <c r="M32" s="214">
        <f>776.31*2*C41</f>
        <v>71420.51999999999</v>
      </c>
      <c r="N32" s="216">
        <f t="shared" ref="N32:N33" si="84">O32/L32</f>
        <v>9373.9432499999984</v>
      </c>
      <c r="O32" s="106">
        <f>M32+(M32*5%)</f>
        <v>74991.545999999988</v>
      </c>
      <c r="P32" s="216">
        <f>N32-K32</f>
        <v>446.37824999999975</v>
      </c>
      <c r="Q32" s="217">
        <f>P32*L32</f>
        <v>3571.025999999998</v>
      </c>
      <c r="R32" s="215">
        <f>T32/S32</f>
        <v>7142.0519999999988</v>
      </c>
      <c r="S32" s="213">
        <v>10</v>
      </c>
      <c r="T32" s="214">
        <f>776.31*2*C41</f>
        <v>71420.51999999999</v>
      </c>
      <c r="U32" s="216">
        <f t="shared" ref="U32:U33" si="85">V32/S32</f>
        <v>7499.1545999999989</v>
      </c>
      <c r="V32" s="106">
        <f>T32+(T32*5%)</f>
        <v>74991.545999999988</v>
      </c>
      <c r="W32" s="216">
        <f>U32-R32</f>
        <v>357.10260000000017</v>
      </c>
      <c r="X32" s="217">
        <f>W32*S32</f>
        <v>3571.0260000000017</v>
      </c>
      <c r="Y32" s="102">
        <f>AA32/Z32</f>
        <v>0</v>
      </c>
      <c r="Z32" s="100">
        <v>12</v>
      </c>
      <c r="AA32" s="101">
        <f>(858*3*C42)</f>
        <v>0</v>
      </c>
      <c r="AB32" s="103">
        <f t="shared" ref="AB32:AB36" si="86">AC32/Z32</f>
        <v>0</v>
      </c>
      <c r="AC32" s="152">
        <f>(858*3*C42)+((858*3*C42)*5%)</f>
        <v>0</v>
      </c>
      <c r="AD32" s="103">
        <f>AB32-Y32</f>
        <v>0</v>
      </c>
      <c r="AE32" s="104">
        <f>AD32*Z32</f>
        <v>0</v>
      </c>
    </row>
    <row r="33" spans="1:31" s="108" customFormat="1" x14ac:dyDescent="0.2">
      <c r="A33" s="210">
        <v>20</v>
      </c>
      <c r="B33" s="219" t="s">
        <v>101</v>
      </c>
      <c r="C33" s="218" t="s">
        <v>44</v>
      </c>
      <c r="D33" s="215">
        <f>F33/E33</f>
        <v>2160</v>
      </c>
      <c r="E33" s="213">
        <v>5</v>
      </c>
      <c r="F33" s="214">
        <f>(1200*1*9)</f>
        <v>10800</v>
      </c>
      <c r="G33" s="216">
        <f t="shared" si="83"/>
        <v>2268</v>
      </c>
      <c r="H33" s="106">
        <f>F33+(F33*5%)</f>
        <v>11340</v>
      </c>
      <c r="I33" s="216">
        <f>G33-D33</f>
        <v>108</v>
      </c>
      <c r="J33" s="217">
        <f>I33*E33</f>
        <v>540</v>
      </c>
      <c r="K33" s="215">
        <f>M33/L33</f>
        <v>2700</v>
      </c>
      <c r="L33" s="213">
        <v>8</v>
      </c>
      <c r="M33" s="214">
        <f>(1200*2*9)</f>
        <v>21600</v>
      </c>
      <c r="N33" s="216">
        <f t="shared" si="84"/>
        <v>2835</v>
      </c>
      <c r="O33" s="106">
        <f>M33+(M33*5%)</f>
        <v>22680</v>
      </c>
      <c r="P33" s="216">
        <f>N33-K33</f>
        <v>135</v>
      </c>
      <c r="Q33" s="217">
        <f>P33*L33</f>
        <v>1080</v>
      </c>
      <c r="R33" s="215">
        <f>T33/S33</f>
        <v>2160</v>
      </c>
      <c r="S33" s="213">
        <v>10</v>
      </c>
      <c r="T33" s="214">
        <f>(1200*2*9)</f>
        <v>21600</v>
      </c>
      <c r="U33" s="216">
        <f t="shared" si="85"/>
        <v>2268</v>
      </c>
      <c r="V33" s="106">
        <f>T33+(T33*5%)</f>
        <v>22680</v>
      </c>
      <c r="W33" s="216">
        <f>U33-R33</f>
        <v>108</v>
      </c>
      <c r="X33" s="217">
        <f>W33*S33</f>
        <v>1080</v>
      </c>
      <c r="Y33" s="102">
        <f>AA33/Z33</f>
        <v>500</v>
      </c>
      <c r="Z33" s="100">
        <v>12</v>
      </c>
      <c r="AA33" s="101">
        <f>(1000*2*3)</f>
        <v>6000</v>
      </c>
      <c r="AB33" s="103">
        <f t="shared" si="86"/>
        <v>525</v>
      </c>
      <c r="AC33" s="152">
        <f>(1000*2*3)+((1000*2*3)*5%)</f>
        <v>6300</v>
      </c>
      <c r="AD33" s="103">
        <f>AB33-Y33</f>
        <v>25</v>
      </c>
      <c r="AE33" s="104">
        <f>AD33*Z33</f>
        <v>300</v>
      </c>
    </row>
    <row r="34" spans="1:31" s="108" customFormat="1" x14ac:dyDescent="0.2">
      <c r="A34" s="210">
        <v>21</v>
      </c>
      <c r="B34" s="211" t="s">
        <v>102</v>
      </c>
      <c r="C34" s="218" t="s">
        <v>44</v>
      </c>
      <c r="D34" s="215">
        <f>F34/E34</f>
        <v>1800</v>
      </c>
      <c r="E34" s="213">
        <v>5</v>
      </c>
      <c r="F34" s="214">
        <f>(1000*1*9)</f>
        <v>9000</v>
      </c>
      <c r="G34" s="216">
        <f>H34/E34</f>
        <v>1890</v>
      </c>
      <c r="H34" s="106">
        <f>F34+(F34*5%)</f>
        <v>9450</v>
      </c>
      <c r="I34" s="216">
        <f>G34-D34</f>
        <v>90</v>
      </c>
      <c r="J34" s="217">
        <f>I34*E34</f>
        <v>450</v>
      </c>
      <c r="K34" s="215">
        <f>M34/L34</f>
        <v>2250</v>
      </c>
      <c r="L34" s="213">
        <v>8</v>
      </c>
      <c r="M34" s="214">
        <f>(1000*2*9)</f>
        <v>18000</v>
      </c>
      <c r="N34" s="216">
        <f>O34/L34</f>
        <v>2362.5</v>
      </c>
      <c r="O34" s="106">
        <f>M34+(M34*5%)</f>
        <v>18900</v>
      </c>
      <c r="P34" s="216">
        <f>N34-K34</f>
        <v>112.5</v>
      </c>
      <c r="Q34" s="217">
        <f>P34*L34</f>
        <v>900</v>
      </c>
      <c r="R34" s="215">
        <f>T34/S34</f>
        <v>1800</v>
      </c>
      <c r="S34" s="213">
        <v>10</v>
      </c>
      <c r="T34" s="214">
        <f>(1000*2*9)</f>
        <v>18000</v>
      </c>
      <c r="U34" s="216">
        <f>V34/S34</f>
        <v>1890</v>
      </c>
      <c r="V34" s="106">
        <f>T34+(T34*5%)</f>
        <v>18900</v>
      </c>
      <c r="W34" s="216">
        <f>U34-R34</f>
        <v>90</v>
      </c>
      <c r="X34" s="217">
        <f>W34*S34</f>
        <v>900</v>
      </c>
      <c r="Y34" s="102">
        <f>AA34/Z34</f>
        <v>250</v>
      </c>
      <c r="Z34" s="100">
        <v>12</v>
      </c>
      <c r="AA34" s="101">
        <f>(500*2*3)</f>
        <v>3000</v>
      </c>
      <c r="AB34" s="103">
        <f t="shared" si="86"/>
        <v>262.5</v>
      </c>
      <c r="AC34" s="152">
        <f>(500*2*3)+((500*2*3)*5%)</f>
        <v>3150</v>
      </c>
      <c r="AD34" s="103">
        <f>AB34-Y34</f>
        <v>12.5</v>
      </c>
      <c r="AE34" s="104">
        <f>AD34*Z34</f>
        <v>150</v>
      </c>
    </row>
    <row r="35" spans="1:31" s="108" customFormat="1" ht="60" x14ac:dyDescent="0.2">
      <c r="A35" s="210">
        <v>22</v>
      </c>
      <c r="B35" s="219" t="s">
        <v>96</v>
      </c>
      <c r="C35" s="218" t="s">
        <v>95</v>
      </c>
      <c r="D35" s="215">
        <f t="shared" ref="D35:D38" si="87">F35/E35</f>
        <v>6660.8</v>
      </c>
      <c r="E35" s="213">
        <v>5</v>
      </c>
      <c r="F35" s="214">
        <f>724*C41</f>
        <v>33304</v>
      </c>
      <c r="G35" s="216">
        <f t="shared" si="83"/>
        <v>6993.8399999999992</v>
      </c>
      <c r="H35" s="216">
        <f>F35+(F35*5%)</f>
        <v>34969.199999999997</v>
      </c>
      <c r="I35" s="216">
        <f t="shared" ref="I35:I36" si="88">G35-D35</f>
        <v>333.03999999999905</v>
      </c>
      <c r="J35" s="217">
        <f t="shared" ref="J35:J36" si="89">I35*E35</f>
        <v>1665.1999999999953</v>
      </c>
      <c r="K35" s="215">
        <f t="shared" ref="K35:K38" si="90">M35/L35</f>
        <v>8326</v>
      </c>
      <c r="L35" s="213">
        <v>8</v>
      </c>
      <c r="M35" s="214">
        <f>724*2*C41</f>
        <v>66608</v>
      </c>
      <c r="N35" s="216">
        <f t="shared" ref="N35:N36" si="91">O35/L35</f>
        <v>8742.2999999999993</v>
      </c>
      <c r="O35" s="216">
        <f>M35+(M35*5%)</f>
        <v>69938.399999999994</v>
      </c>
      <c r="P35" s="216">
        <f t="shared" ref="P35:P36" si="92">N35-K35</f>
        <v>416.29999999999927</v>
      </c>
      <c r="Q35" s="217">
        <f t="shared" ref="Q35:Q36" si="93">P35*L35</f>
        <v>3330.3999999999942</v>
      </c>
      <c r="R35" s="215">
        <f t="shared" ref="R35:R38" si="94">T35/S35</f>
        <v>6660.8</v>
      </c>
      <c r="S35" s="213">
        <v>10</v>
      </c>
      <c r="T35" s="214">
        <f>724*2*C41</f>
        <v>66608</v>
      </c>
      <c r="U35" s="216">
        <f t="shared" ref="U35:U36" si="95">V35/S35</f>
        <v>6993.8399999999992</v>
      </c>
      <c r="V35" s="216">
        <f>T35+(T35*5%)</f>
        <v>69938.399999999994</v>
      </c>
      <c r="W35" s="216">
        <f t="shared" ref="W35:W36" si="96">U35-R35</f>
        <v>333.03999999999905</v>
      </c>
      <c r="X35" s="217">
        <f t="shared" ref="X35:X36" si="97">W35*S35</f>
        <v>3330.3999999999905</v>
      </c>
      <c r="Y35" s="102">
        <f t="shared" ref="Y35" si="98">AA35/Z35</f>
        <v>0</v>
      </c>
      <c r="Z35" s="100">
        <v>12</v>
      </c>
      <c r="AA35" s="101">
        <f>(164.59*3*C42)</f>
        <v>0</v>
      </c>
      <c r="AB35" s="103">
        <f t="shared" si="86"/>
        <v>0</v>
      </c>
      <c r="AC35" s="103">
        <f>(164.59*3*C42)+((164.59*3*C42)*5%)</f>
        <v>0</v>
      </c>
      <c r="AD35" s="103">
        <f t="shared" ref="AD35" si="99">AB35-Y35</f>
        <v>0</v>
      </c>
      <c r="AE35" s="104">
        <f t="shared" ref="AE35" si="100">AD35*Z35</f>
        <v>0</v>
      </c>
    </row>
    <row r="36" spans="1:31" s="108" customFormat="1" x14ac:dyDescent="0.2">
      <c r="A36" s="210"/>
      <c r="B36" s="211" t="s">
        <v>59</v>
      </c>
      <c r="C36" s="218"/>
      <c r="D36" s="215">
        <f t="shared" si="87"/>
        <v>0</v>
      </c>
      <c r="E36" s="213">
        <v>5</v>
      </c>
      <c r="F36" s="214">
        <v>0</v>
      </c>
      <c r="G36" s="216">
        <f t="shared" si="83"/>
        <v>0</v>
      </c>
      <c r="H36" s="216">
        <f>F36</f>
        <v>0</v>
      </c>
      <c r="I36" s="216">
        <f t="shared" si="88"/>
        <v>0</v>
      </c>
      <c r="J36" s="217">
        <f t="shared" si="89"/>
        <v>0</v>
      </c>
      <c r="K36" s="215">
        <f t="shared" si="90"/>
        <v>0</v>
      </c>
      <c r="L36" s="213">
        <v>8</v>
      </c>
      <c r="M36" s="214">
        <v>0</v>
      </c>
      <c r="N36" s="216">
        <f t="shared" si="91"/>
        <v>0</v>
      </c>
      <c r="O36" s="216">
        <f>M36</f>
        <v>0</v>
      </c>
      <c r="P36" s="216">
        <f t="shared" si="92"/>
        <v>0</v>
      </c>
      <c r="Q36" s="217">
        <f t="shared" si="93"/>
        <v>0</v>
      </c>
      <c r="R36" s="215">
        <f t="shared" si="94"/>
        <v>0</v>
      </c>
      <c r="S36" s="213">
        <v>10</v>
      </c>
      <c r="T36" s="214">
        <v>0</v>
      </c>
      <c r="U36" s="216">
        <f t="shared" si="95"/>
        <v>0</v>
      </c>
      <c r="V36" s="216">
        <f>T36</f>
        <v>0</v>
      </c>
      <c r="W36" s="216">
        <f t="shared" si="96"/>
        <v>0</v>
      </c>
      <c r="X36" s="217">
        <f t="shared" si="97"/>
        <v>0</v>
      </c>
      <c r="Y36" s="102">
        <f t="shared" ref="Y36:Y38" si="101">AA36/Z36</f>
        <v>2200</v>
      </c>
      <c r="Z36" s="100">
        <v>12</v>
      </c>
      <c r="AA36" s="101">
        <f>(2200*12)</f>
        <v>26400</v>
      </c>
      <c r="AB36" s="103">
        <f t="shared" si="86"/>
        <v>2200</v>
      </c>
      <c r="AC36" s="103">
        <f>AA36</f>
        <v>26400</v>
      </c>
      <c r="AD36" s="103">
        <f t="shared" ref="AD36:AD38" si="102">AB36-Y36</f>
        <v>0</v>
      </c>
      <c r="AE36" s="104">
        <f t="shared" ref="AE36:AE38" si="103">AD36*Z36</f>
        <v>0</v>
      </c>
    </row>
    <row r="37" spans="1:31" s="108" customFormat="1" x14ac:dyDescent="0.2">
      <c r="A37" s="210">
        <v>24</v>
      </c>
      <c r="B37" s="211" t="s">
        <v>103</v>
      </c>
      <c r="C37" s="117"/>
      <c r="D37" s="215">
        <f t="shared" si="87"/>
        <v>2246.4000000000005</v>
      </c>
      <c r="E37" s="213">
        <v>5</v>
      </c>
      <c r="F37" s="214">
        <f>(156000*7.2%)*1</f>
        <v>11232.000000000002</v>
      </c>
      <c r="G37" s="216">
        <f>H37/E37</f>
        <v>2358.7200000000003</v>
      </c>
      <c r="H37" s="216">
        <f>F37+(F37*5%)</f>
        <v>11793.600000000002</v>
      </c>
      <c r="I37" s="216">
        <f>G37-D37</f>
        <v>112.31999999999971</v>
      </c>
      <c r="J37" s="217">
        <f>I37*E37</f>
        <v>561.59999999999854</v>
      </c>
      <c r="K37" s="215">
        <f t="shared" si="90"/>
        <v>2718.0000000000005</v>
      </c>
      <c r="L37" s="213">
        <v>8</v>
      </c>
      <c r="M37" s="214">
        <f>(151000*7.2%)*2</f>
        <v>21744.000000000004</v>
      </c>
      <c r="N37" s="216">
        <f>O37/L37</f>
        <v>2853.9000000000005</v>
      </c>
      <c r="O37" s="216">
        <f>M37+(M37*5%)</f>
        <v>22831.200000000004</v>
      </c>
      <c r="P37" s="216">
        <f>N37-K37</f>
        <v>135.90000000000009</v>
      </c>
      <c r="Q37" s="217">
        <f>P37*L37</f>
        <v>1087.2000000000007</v>
      </c>
      <c r="R37" s="215">
        <f t="shared" si="94"/>
        <v>3056.4000000000005</v>
      </c>
      <c r="S37" s="213">
        <v>10</v>
      </c>
      <c r="T37" s="214">
        <f>(141500*7.2%)*3</f>
        <v>30564.000000000007</v>
      </c>
      <c r="U37" s="216">
        <f>V37/S37</f>
        <v>3209.2200000000007</v>
      </c>
      <c r="V37" s="216">
        <f>T37+(T37*5%)</f>
        <v>32092.200000000008</v>
      </c>
      <c r="W37" s="216">
        <f>U37-R37</f>
        <v>152.82000000000016</v>
      </c>
      <c r="X37" s="217">
        <f>W37*S37</f>
        <v>1528.2000000000016</v>
      </c>
      <c r="Y37" s="102">
        <f t="shared" si="101"/>
        <v>3033.3333333333335</v>
      </c>
      <c r="Z37" s="100">
        <v>12</v>
      </c>
      <c r="AA37" s="101">
        <f>(130000*7%)*4</f>
        <v>36400</v>
      </c>
      <c r="AB37" s="103">
        <f>Y37</f>
        <v>3033.3333333333335</v>
      </c>
      <c r="AC37" s="103">
        <f>AB37*Z37</f>
        <v>36400</v>
      </c>
      <c r="AD37" s="103">
        <f t="shared" si="102"/>
        <v>0</v>
      </c>
      <c r="AE37" s="104">
        <f t="shared" si="103"/>
        <v>0</v>
      </c>
    </row>
    <row r="38" spans="1:31" s="108" customFormat="1" ht="16" thickBot="1" x14ac:dyDescent="0.25">
      <c r="A38" s="264">
        <v>25</v>
      </c>
      <c r="B38" s="265" t="s">
        <v>46</v>
      </c>
      <c r="C38" s="266"/>
      <c r="D38" s="267">
        <f t="shared" si="87"/>
        <v>1872</v>
      </c>
      <c r="E38" s="268">
        <v>5</v>
      </c>
      <c r="F38" s="269">
        <f>(156000*(3%))*2</f>
        <v>9360</v>
      </c>
      <c r="G38" s="270">
        <f>H38/E38</f>
        <v>1965.6</v>
      </c>
      <c r="H38" s="270">
        <f>F38+(F38*5%)</f>
        <v>9828</v>
      </c>
      <c r="I38" s="270">
        <f>G38-D38</f>
        <v>93.599999999999909</v>
      </c>
      <c r="J38" s="271">
        <f>I38*E38</f>
        <v>467.99999999999955</v>
      </c>
      <c r="K38" s="267">
        <f t="shared" si="90"/>
        <v>1132.5</v>
      </c>
      <c r="L38" s="268">
        <v>8</v>
      </c>
      <c r="M38" s="269">
        <f>(151000*(3%))*2</f>
        <v>9060</v>
      </c>
      <c r="N38" s="270">
        <f>O38/L38</f>
        <v>1189.125</v>
      </c>
      <c r="O38" s="270">
        <f>M38+(M38*5%)</f>
        <v>9513</v>
      </c>
      <c r="P38" s="270">
        <f>N38-K38</f>
        <v>56.625</v>
      </c>
      <c r="Q38" s="271">
        <f>P38*L38</f>
        <v>453</v>
      </c>
      <c r="R38" s="267">
        <f t="shared" si="94"/>
        <v>849</v>
      </c>
      <c r="S38" s="268">
        <v>10</v>
      </c>
      <c r="T38" s="269">
        <f>(141500*(3%))*2</f>
        <v>8490</v>
      </c>
      <c r="U38" s="270">
        <f>V38/S38</f>
        <v>891.45</v>
      </c>
      <c r="V38" s="270">
        <f>T38+(T38*5%)</f>
        <v>8914.5</v>
      </c>
      <c r="W38" s="270">
        <f>U38-R38</f>
        <v>42.450000000000045</v>
      </c>
      <c r="X38" s="271">
        <f>W38*S38</f>
        <v>424.50000000000045</v>
      </c>
      <c r="Y38" s="162">
        <f t="shared" si="101"/>
        <v>975</v>
      </c>
      <c r="Z38" s="121">
        <v>12</v>
      </c>
      <c r="AA38" s="163">
        <f>(130000*(3%))*3</f>
        <v>11700</v>
      </c>
      <c r="AB38" s="164">
        <f>Y38</f>
        <v>975</v>
      </c>
      <c r="AC38" s="164">
        <f>AB38*Z38</f>
        <v>11700</v>
      </c>
      <c r="AD38" s="164">
        <f t="shared" si="102"/>
        <v>0</v>
      </c>
      <c r="AE38" s="165">
        <f t="shared" si="103"/>
        <v>0</v>
      </c>
    </row>
    <row r="39" spans="1:31" x14ac:dyDescent="0.2">
      <c r="D39" s="8">
        <f>SUM(D3:D38)</f>
        <v>142301.63599999997</v>
      </c>
      <c r="E39" s="7"/>
      <c r="F39" s="8">
        <f t="shared" ref="F39:K39" si="104">SUM(F3:F38)</f>
        <v>711508.17999999993</v>
      </c>
      <c r="G39" s="150">
        <f t="shared" si="104"/>
        <v>159499.65780000002</v>
      </c>
      <c r="H39" s="8">
        <f t="shared" si="104"/>
        <v>797498.28900000011</v>
      </c>
      <c r="I39" s="8">
        <f t="shared" si="104"/>
        <v>17198.021799999995</v>
      </c>
      <c r="J39" s="8">
        <f t="shared" si="104"/>
        <v>85990.109000000026</v>
      </c>
      <c r="K39" s="8">
        <f t="shared" si="104"/>
        <v>136005.67749999999</v>
      </c>
      <c r="L39" s="7"/>
      <c r="M39" s="8">
        <f t="shared" ref="M39:R39" si="105">SUM(M3:M38)</f>
        <v>1088045.42</v>
      </c>
      <c r="N39" s="150">
        <f t="shared" si="105"/>
        <v>159500.348875</v>
      </c>
      <c r="O39" s="8">
        <f t="shared" si="105"/>
        <v>1232802.791</v>
      </c>
      <c r="P39" s="8">
        <f t="shared" si="105"/>
        <v>23494.671374999994</v>
      </c>
      <c r="Q39" s="8">
        <f t="shared" si="105"/>
        <v>187957.37099999996</v>
      </c>
      <c r="R39" s="8">
        <f t="shared" si="105"/>
        <v>119699.38</v>
      </c>
      <c r="S39" s="7"/>
      <c r="T39" s="8">
        <f t="shared" ref="T39:Y39" si="106">SUM(T3:T38)</f>
        <v>1196993.7999999998</v>
      </c>
      <c r="U39" s="150">
        <f t="shared" si="106"/>
        <v>159500.07900000003</v>
      </c>
      <c r="V39" s="8">
        <f t="shared" si="106"/>
        <v>1595000.79</v>
      </c>
      <c r="W39" s="8">
        <f t="shared" si="106"/>
        <v>39800.698999999986</v>
      </c>
      <c r="X39" s="8">
        <f t="shared" si="106"/>
        <v>398006.99000000011</v>
      </c>
      <c r="Y39" s="300">
        <f t="shared" si="106"/>
        <v>32350.666666666661</v>
      </c>
      <c r="Z39" s="301"/>
      <c r="AA39" s="300">
        <f>SUM(AA3:AA38)</f>
        <v>388208</v>
      </c>
      <c r="AB39" s="302">
        <f>SUM(AB3:AB38)</f>
        <v>42888.9</v>
      </c>
      <c r="AC39" s="300">
        <f>SUM(AC3:AC38)</f>
        <v>514666.8</v>
      </c>
      <c r="AD39" s="300">
        <f>SUM(AD3:AD38)</f>
        <v>10538.233333333332</v>
      </c>
      <c r="AE39" s="300">
        <f>SUM(AE3:AE38)</f>
        <v>126458.8</v>
      </c>
    </row>
    <row r="40" spans="1:31" x14ac:dyDescent="0.2">
      <c r="G40" s="9">
        <v>159500</v>
      </c>
      <c r="H40" s="9"/>
      <c r="N40" s="9">
        <v>159500</v>
      </c>
      <c r="O40" s="9"/>
      <c r="U40" s="9">
        <v>159500</v>
      </c>
      <c r="V40" s="9"/>
      <c r="AB40" s="300"/>
      <c r="AC40" s="300"/>
    </row>
    <row r="41" spans="1:31" s="3" customFormat="1" x14ac:dyDescent="0.2">
      <c r="A41" s="2"/>
      <c r="B41" s="5" t="s">
        <v>75</v>
      </c>
      <c r="C41" s="6">
        <v>46</v>
      </c>
      <c r="D41" s="3" t="s">
        <v>24</v>
      </c>
      <c r="E41" s="4"/>
      <c r="F41" s="3" t="s">
        <v>43</v>
      </c>
      <c r="G41" s="221">
        <f>D12+D15+D17+D20+D23+3000</f>
        <v>49073.508000000002</v>
      </c>
      <c r="H41" s="151">
        <v>49000</v>
      </c>
      <c r="K41" s="3" t="s">
        <v>24</v>
      </c>
      <c r="L41" s="4"/>
      <c r="M41" s="3" t="s">
        <v>43</v>
      </c>
      <c r="N41" s="221">
        <f>G41</f>
        <v>49073.508000000002</v>
      </c>
      <c r="O41" s="151">
        <v>49000</v>
      </c>
      <c r="S41" s="4"/>
      <c r="T41" s="3" t="s">
        <v>43</v>
      </c>
      <c r="U41" s="221">
        <f>N41</f>
        <v>49073.508000000002</v>
      </c>
      <c r="V41" s="151">
        <v>49000</v>
      </c>
      <c r="Y41" s="276"/>
      <c r="Z41" s="275"/>
      <c r="AA41" s="276" t="s">
        <v>43</v>
      </c>
      <c r="AB41" s="303" t="e">
        <f>Y12+Y15+Y17+Y20+Y23+#REF!+5000</f>
        <v>#REF!</v>
      </c>
      <c r="AC41" s="302">
        <v>29000</v>
      </c>
      <c r="AD41" s="276"/>
      <c r="AE41" s="276"/>
    </row>
    <row r="42" spans="1:31" s="3" customFormat="1" x14ac:dyDescent="0.2">
      <c r="A42" s="2"/>
      <c r="B42" s="5"/>
      <c r="C42" s="6"/>
      <c r="E42" s="4"/>
      <c r="G42" s="8"/>
      <c r="K42" s="3" t="s">
        <v>24</v>
      </c>
      <c r="L42" s="4"/>
      <c r="N42" s="8"/>
      <c r="S42" s="4"/>
      <c r="U42" s="8"/>
      <c r="Y42" s="276"/>
      <c r="Z42" s="275"/>
      <c r="AA42" s="276"/>
      <c r="AB42" s="300"/>
      <c r="AC42" s="276"/>
      <c r="AD42" s="276"/>
      <c r="AE42" s="276"/>
    </row>
    <row r="43" spans="1:31" x14ac:dyDescent="0.2">
      <c r="U43" s="36"/>
    </row>
    <row r="44" spans="1:31" x14ac:dyDescent="0.2">
      <c r="D44" s="89"/>
      <c r="F44" s="226" t="s">
        <v>62</v>
      </c>
      <c r="G44" s="3">
        <f>(G40*5)+H41</f>
        <v>846500</v>
      </c>
      <c r="K44" s="89"/>
      <c r="M44" s="226" t="s">
        <v>65</v>
      </c>
      <c r="N44" s="3">
        <f>(N40*8)</f>
        <v>1276000</v>
      </c>
      <c r="R44" s="89"/>
      <c r="Y44" s="304"/>
    </row>
    <row r="45" spans="1:31" x14ac:dyDescent="0.2">
      <c r="F45" s="3" t="s">
        <v>63</v>
      </c>
      <c r="G45" s="3">
        <f>D39*5</f>
        <v>711508.17999999982</v>
      </c>
      <c r="M45" s="3" t="s">
        <v>63</v>
      </c>
      <c r="N45" s="3">
        <f>K39*8</f>
        <v>1088045.42</v>
      </c>
    </row>
    <row r="46" spans="1:31" ht="16" thickBot="1" x14ac:dyDescent="0.25">
      <c r="F46" s="3" t="s">
        <v>64</v>
      </c>
      <c r="G46" s="227">
        <f>G44-G45</f>
        <v>134991.82000000018</v>
      </c>
      <c r="M46" s="3" t="s">
        <v>64</v>
      </c>
      <c r="N46" s="227">
        <f>N44-N45</f>
        <v>187954.58000000007</v>
      </c>
    </row>
    <row r="47" spans="1:31" ht="16" thickTop="1" x14ac:dyDescent="0.2"/>
  </sheetData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cost_land</vt:lpstr>
      <vt:lpstr>cost_sc0125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BRD - THMOBR037 - Dhanda S.</dc:creator>
  <cp:lastModifiedBy>รัฐพรหม พรหมคำ</cp:lastModifiedBy>
  <dcterms:created xsi:type="dcterms:W3CDTF">2017-05-07T13:31:58Z</dcterms:created>
  <dcterms:modified xsi:type="dcterms:W3CDTF">2026-04-06T22:56:52Z</dcterms:modified>
</cp:coreProperties>
</file>